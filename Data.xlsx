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wsp.p\tochka-dev-game\"/>
    </mc:Choice>
  </mc:AlternateContent>
  <xr:revisionPtr revIDLastSave="0" documentId="13_ncr:1_{4921ABB1-9B22-4F81-AD8C-759F2C2AE10B}" xr6:coauthVersionLast="47" xr6:coauthVersionMax="47" xr10:uidLastSave="{00000000-0000-0000-0000-000000000000}"/>
  <bookViews>
    <workbookView xWindow="-120" yWindow="-120" windowWidth="38640" windowHeight="21240" xr2:uid="{3BA05377-DF0C-404B-804F-25852582BFD9}"/>
  </bookViews>
  <sheets>
    <sheet name="Лист1" sheetId="1" r:id="rId1"/>
  </sheets>
  <calcPr calcId="191029"/>
  <pivotCaches>
    <pivotCache cacheId="2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7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6" i="1"/>
  <c r="O12" i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AA13" i="1" s="1"/>
  <c r="U13" i="1"/>
  <c r="Z13" i="1" s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U6" i="1"/>
  <c r="X6" i="1" s="1"/>
  <c r="T6" i="1"/>
  <c r="Y6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6" i="1"/>
  <c r="J16" i="1"/>
  <c r="J17" i="1"/>
  <c r="J18" i="1"/>
  <c r="J19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J7" i="1"/>
  <c r="J8" i="1"/>
  <c r="J9" i="1"/>
  <c r="J10" i="1"/>
  <c r="J11" i="1"/>
  <c r="J12" i="1"/>
  <c r="J13" i="1"/>
  <c r="J14" i="1"/>
  <c r="J15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W25" i="1" s="1"/>
  <c r="J49" i="1"/>
  <c r="J50" i="1"/>
  <c r="J51" i="1"/>
  <c r="J52" i="1"/>
  <c r="J53" i="1"/>
  <c r="J54" i="1"/>
  <c r="J55" i="1"/>
  <c r="J56" i="1"/>
  <c r="J57" i="1"/>
  <c r="J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7" i="1"/>
  <c r="I6" i="1"/>
  <c r="D3" i="1"/>
  <c r="E3" i="1"/>
  <c r="F3" i="1"/>
  <c r="G3" i="1"/>
  <c r="C3" i="1"/>
  <c r="D4" i="1"/>
  <c r="D5" i="1" s="1"/>
  <c r="E4" i="1"/>
  <c r="E5" i="1" s="1"/>
  <c r="F4" i="1"/>
  <c r="F5" i="1" s="1"/>
  <c r="G4" i="1"/>
  <c r="H4" i="1"/>
  <c r="C4" i="1"/>
  <c r="C5" i="1" s="1"/>
  <c r="G5" i="1" l="1"/>
  <c r="W36" i="1"/>
  <c r="W53" i="1"/>
  <c r="W26" i="1"/>
  <c r="AA14" i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W52" i="1"/>
  <c r="W35" i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H3" i="1"/>
  <c r="H2" i="1" s="1"/>
  <c r="W24" i="1"/>
  <c r="W29" i="1"/>
  <c r="W22" i="1"/>
  <c r="W27" i="1"/>
  <c r="W54" i="1"/>
  <c r="W55" i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W40" i="1"/>
  <c r="W6" i="1"/>
  <c r="W34" i="1"/>
  <c r="X7" i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W38" i="1"/>
  <c r="W37" i="1"/>
  <c r="W28" i="1"/>
  <c r="W7" i="1"/>
  <c r="W45" i="1"/>
  <c r="W8" i="1"/>
  <c r="W47" i="1"/>
  <c r="W39" i="1"/>
  <c r="W9" i="1"/>
  <c r="W20" i="1"/>
  <c r="W42" i="1"/>
  <c r="W21" i="1"/>
  <c r="W15" i="1"/>
  <c r="W23" i="1"/>
  <c r="W14" i="1"/>
  <c r="W50" i="1"/>
  <c r="W41" i="1"/>
  <c r="W57" i="1"/>
  <c r="W16" i="1"/>
  <c r="W44" i="1"/>
  <c r="W33" i="1"/>
  <c r="W30" i="1"/>
  <c r="W43" i="1"/>
  <c r="W48" i="1"/>
  <c r="W11" i="1"/>
  <c r="W46" i="1"/>
  <c r="W49" i="1"/>
  <c r="W13" i="1"/>
  <c r="W56" i="1"/>
  <c r="W51" i="1"/>
  <c r="W17" i="1"/>
  <c r="W10" i="1"/>
  <c r="W32" i="1"/>
  <c r="W18" i="1"/>
  <c r="W12" i="1"/>
  <c r="W31" i="1"/>
  <c r="W19" i="1"/>
  <c r="K8" i="1"/>
  <c r="V56" i="1"/>
  <c r="K9" i="1"/>
  <c r="V54" i="1"/>
  <c r="K11" i="1"/>
  <c r="V55" i="1"/>
  <c r="K12" i="1"/>
  <c r="V46" i="1"/>
  <c r="K13" i="1"/>
  <c r="V48" i="1"/>
  <c r="K17" i="1"/>
  <c r="V47" i="1"/>
  <c r="K19" i="1"/>
  <c r="V45" i="1"/>
  <c r="K23" i="1"/>
  <c r="V39" i="1"/>
  <c r="K25" i="1"/>
  <c r="V38" i="1"/>
  <c r="K29" i="1"/>
  <c r="V40" i="1"/>
  <c r="K33" i="1"/>
  <c r="V13" i="1"/>
  <c r="K35" i="1"/>
  <c r="V22" i="1"/>
  <c r="K36" i="1"/>
  <c r="V30" i="1"/>
  <c r="K39" i="1"/>
  <c r="V31" i="1"/>
  <c r="K54" i="1"/>
  <c r="V23" i="1"/>
  <c r="K10" i="1"/>
  <c r="V57" i="1"/>
  <c r="K14" i="1"/>
  <c r="V51" i="1"/>
  <c r="K15" i="1"/>
  <c r="V50" i="1"/>
  <c r="K16" i="1"/>
  <c r="V43" i="1"/>
  <c r="K18" i="1"/>
  <c r="V41" i="1"/>
  <c r="K20" i="1"/>
  <c r="V49" i="1"/>
  <c r="K21" i="1"/>
  <c r="V42" i="1"/>
  <c r="K22" i="1"/>
  <c r="V44" i="1"/>
  <c r="K24" i="1"/>
  <c r="V33" i="1"/>
  <c r="K26" i="1"/>
  <c r="V37" i="1"/>
  <c r="K27" i="1"/>
  <c r="V32" i="1"/>
  <c r="K28" i="1"/>
  <c r="V36" i="1"/>
  <c r="K30" i="1"/>
  <c r="V35" i="1"/>
  <c r="K31" i="1"/>
  <c r="V34" i="1"/>
  <c r="K32" i="1"/>
  <c r="V18" i="1"/>
  <c r="K34" i="1"/>
  <c r="V17" i="1"/>
  <c r="K37" i="1"/>
  <c r="V12" i="1"/>
  <c r="K38" i="1"/>
  <c r="V9" i="1"/>
  <c r="K40" i="1"/>
  <c r="V19" i="1"/>
  <c r="K41" i="1"/>
  <c r="V8" i="1"/>
  <c r="K42" i="1"/>
  <c r="V24" i="1"/>
  <c r="K43" i="1"/>
  <c r="V28" i="1"/>
  <c r="K44" i="1"/>
  <c r="V11" i="1"/>
  <c r="K45" i="1"/>
  <c r="V26" i="1"/>
  <c r="K46" i="1"/>
  <c r="V27" i="1"/>
  <c r="K47" i="1"/>
  <c r="V10" i="1"/>
  <c r="K48" i="1"/>
  <c r="V25" i="1"/>
  <c r="K49" i="1"/>
  <c r="V29" i="1"/>
  <c r="K50" i="1"/>
  <c r="V7" i="1"/>
  <c r="K52" i="1"/>
  <c r="V16" i="1"/>
  <c r="K53" i="1"/>
  <c r="V20" i="1"/>
  <c r="K55" i="1"/>
  <c r="V14" i="1"/>
  <c r="K56" i="1"/>
  <c r="V21" i="1"/>
  <c r="K57" i="1"/>
  <c r="V15" i="1"/>
  <c r="K7" i="1"/>
  <c r="V52" i="1"/>
  <c r="K6" i="1"/>
  <c r="V53" i="1"/>
  <c r="K51" i="1"/>
  <c r="V6" i="1"/>
</calcChain>
</file>

<file path=xl/sharedStrings.xml><?xml version="1.0" encoding="utf-8"?>
<sst xmlns="http://schemas.openxmlformats.org/spreadsheetml/2006/main" count="27" uniqueCount="17">
  <si>
    <t>Продакт</t>
  </si>
  <si>
    <t>Дизайн</t>
  </si>
  <si>
    <t>Ред</t>
  </si>
  <si>
    <t>Разраб</t>
  </si>
  <si>
    <t>Тест</t>
  </si>
  <si>
    <t>Деньги</t>
  </si>
  <si>
    <t>Себест</t>
  </si>
  <si>
    <t>Прох/огр</t>
  </si>
  <si>
    <t>Ден/Себ</t>
  </si>
  <si>
    <t>Накоп доход</t>
  </si>
  <si>
    <t>Накоп тестиров.</t>
  </si>
  <si>
    <t>Названия строк</t>
  </si>
  <si>
    <t>(пусто)</t>
  </si>
  <si>
    <t>Поз</t>
  </si>
  <si>
    <t>Сумма по полю Ден/Себ</t>
  </si>
  <si>
    <t>[</t>
  </si>
  <si>
    <t>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</si>
</sst>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04"/>
      <scheme val="minor"/>
    </font>
    <font>
      <sz val="10"/>
      <color rgb="FF08080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/>
    <xf numFmtId="9" fontId="2" fillId="0" borderId="0" xfId="1" applyFont="1" applyFill="1"/>
    <xf numFmtId="164" fontId="1" fillId="0" borderId="0" xfId="1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2" fillId="0" borderId="0" xfId="1" applyFont="1" applyFill="1" applyAlignment="1">
      <alignment horizontal="right"/>
    </xf>
    <xf numFmtId="9" fontId="0" fillId="0" borderId="0" xfId="1" applyFont="1"/>
    <xf numFmtId="9" fontId="0" fillId="0" borderId="0" xfId="0" applyNumberFormat="1"/>
  </cellXfs>
  <cellStyles count="2">
    <cellStyle name="Обычный" xfId="0" builtinId="0"/>
    <cellStyle name="Процентный" xfId="1" builtinId="5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" refreshedDate="46147.37800798611" createdVersion="8" refreshedVersion="8" minRefreshableVersion="3" recordCount="56" xr:uid="{C5E323F3-16D3-450F-8C47-505DDB253939}">
  <cacheSource type="worksheet">
    <worksheetSource ref="B1:K57" sheet="Лист1"/>
  </cacheSource>
  <cacheFields count="10">
    <cacheField name="Поз" numFmtId="0">
      <sharedItems containsString="0" containsBlank="1" containsNumber="1" containsInteger="1" minValue="0" maxValue="52" count="54">
        <m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 u="1"/>
      </sharedItems>
    </cacheField>
    <cacheField name="Продакт" numFmtId="0">
      <sharedItems containsSemiMixedTypes="0" containsString="0" containsNumber="1" minValue="0.40384615384615385" maxValue="1040"/>
    </cacheField>
    <cacheField name="Дизайн" numFmtId="0">
      <sharedItems containsSemiMixedTypes="0" containsString="0" containsNumber="1" minValue="0.41153846153846152" maxValue="520"/>
    </cacheField>
    <cacheField name="Ред" numFmtId="0">
      <sharedItems containsSemiMixedTypes="0" containsString="0" containsNumber="1" minValue="0.32884615384615384" maxValue="520"/>
    </cacheField>
    <cacheField name="Разраб" numFmtId="0">
      <sharedItems containsSemiMixedTypes="0" containsString="0" containsNumber="1" minValue="0.94711538461538458" maxValue="10400"/>
    </cacheField>
    <cacheField name="Тест" numFmtId="0">
      <sharedItems containsSemiMixedTypes="0" containsString="0" containsNumber="1" minValue="0" maxValue="5250"/>
    </cacheField>
    <cacheField name="Деньги" numFmtId="0">
      <sharedItems containsString="0" containsBlank="1" containsNumber="1" containsInteger="1" minValue="2500" maxValue="395000"/>
    </cacheField>
    <cacheField name="Себест" numFmtId="0">
      <sharedItems containsString="0" containsBlank="1" containsNumber="1" containsInteger="1" minValue="1745" maxValue="2690"/>
    </cacheField>
    <cacheField name="Прох/огр" numFmtId="0">
      <sharedItems containsBlank="1" containsMixedTypes="1" containsNumber="1" containsInteger="1" minValue="40" maxValue="400"/>
    </cacheField>
    <cacheField name="Ден/Себ" numFmtId="0">
      <sharedItems containsString="0" containsBlank="1" containsNumber="1" minValue="0.92936802973977695" maxValue="6.6852367688022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40"/>
    <n v="20"/>
    <n v="20"/>
    <n v="400"/>
    <n v="80"/>
    <n v="244000"/>
    <m/>
    <m/>
    <m/>
  </r>
  <r>
    <x v="0"/>
    <n v="1040"/>
    <n v="520"/>
    <n v="520"/>
    <n v="10400"/>
    <n v="2080"/>
    <n v="104000"/>
    <m/>
    <m/>
    <m/>
  </r>
  <r>
    <x v="0"/>
    <n v="420"/>
    <n v="214"/>
    <n v="171"/>
    <n v="9850"/>
    <n v="5250"/>
    <n v="395000"/>
    <m/>
    <m/>
    <m/>
  </r>
  <r>
    <x v="0"/>
    <n v="0.40384615384615385"/>
    <n v="0.41153846153846152"/>
    <n v="0.32884615384615384"/>
    <n v="0.94711538461538458"/>
    <n v="2.5240384615384617"/>
    <m/>
    <m/>
    <m/>
    <m/>
  </r>
  <r>
    <x v="1"/>
    <n v="8"/>
    <n v="2"/>
    <n v="3"/>
    <n v="320"/>
    <n v="0"/>
    <n v="2500"/>
    <n v="2625"/>
    <e v="#DIV/0!"/>
    <n v="0.95238095238095233"/>
  </r>
  <r>
    <x v="2"/>
    <n v="5"/>
    <n v="2"/>
    <n v="2"/>
    <n v="330"/>
    <n v="0"/>
    <n v="2500"/>
    <n v="2685"/>
    <e v="#DIV/0!"/>
    <n v="0.93109869646182497"/>
  </r>
  <r>
    <x v="3"/>
    <n v="9"/>
    <n v="4"/>
    <n v="2"/>
    <n v="320"/>
    <n v="0"/>
    <n v="2500"/>
    <n v="2635"/>
    <e v="#DIV/0!"/>
    <n v="0.94876660341555974"/>
  </r>
  <r>
    <x v="4"/>
    <n v="11"/>
    <n v="6"/>
    <n v="4"/>
    <n v="310"/>
    <n v="0"/>
    <n v="2500"/>
    <n v="2585"/>
    <e v="#DIV/0!"/>
    <n v="0.96711798839458418"/>
  </r>
  <r>
    <x v="5"/>
    <n v="10"/>
    <n v="8"/>
    <n v="3"/>
    <n v="320"/>
    <n v="0"/>
    <n v="2500"/>
    <n v="2665"/>
    <e v="#DIV/0!"/>
    <n v="0.93808630393996251"/>
  </r>
  <r>
    <x v="6"/>
    <n v="7"/>
    <n v="1"/>
    <n v="2"/>
    <n v="330"/>
    <n v="0"/>
    <n v="2500"/>
    <n v="2690"/>
    <e v="#DIV/0!"/>
    <n v="0.92936802973977695"/>
  </r>
  <r>
    <x v="7"/>
    <n v="6"/>
    <n v="2"/>
    <n v="8"/>
    <n v="230"/>
    <n v="10"/>
    <n v="4000"/>
    <n v="1970"/>
    <n v="400"/>
    <n v="2.030456852791878"/>
  </r>
  <r>
    <x v="8"/>
    <n v="9"/>
    <n v="4"/>
    <n v="1"/>
    <n v="240"/>
    <n v="10"/>
    <n v="4000"/>
    <n v="2040"/>
    <n v="400"/>
    <n v="1.9607843137254901"/>
  </r>
  <r>
    <x v="9"/>
    <n v="10"/>
    <n v="6"/>
    <n v="2"/>
    <n v="250"/>
    <n v="10"/>
    <n v="4000"/>
    <n v="2140"/>
    <n v="400"/>
    <n v="1.8691588785046729"/>
  </r>
  <r>
    <x v="10"/>
    <n v="8"/>
    <n v="8"/>
    <n v="4"/>
    <n v="220"/>
    <n v="10"/>
    <n v="4000"/>
    <n v="1910"/>
    <n v="400"/>
    <n v="2.0942408376963351"/>
  </r>
  <r>
    <x v="11"/>
    <n v="11"/>
    <n v="1"/>
    <n v="3"/>
    <n v="230"/>
    <n v="10"/>
    <n v="4000"/>
    <n v="1965"/>
    <n v="400"/>
    <n v="2.0356234096692112"/>
  </r>
  <r>
    <x v="12"/>
    <n v="6"/>
    <n v="2"/>
    <n v="2"/>
    <n v="220"/>
    <n v="10"/>
    <n v="4000"/>
    <n v="1860"/>
    <n v="400"/>
    <n v="2.150537634408602"/>
  </r>
  <r>
    <x v="13"/>
    <n v="5"/>
    <n v="4"/>
    <n v="8"/>
    <n v="240"/>
    <n v="10"/>
    <n v="4000"/>
    <n v="2055"/>
    <n v="400"/>
    <n v="1.9464720194647203"/>
  </r>
  <r>
    <x v="14"/>
    <n v="8"/>
    <n v="6"/>
    <n v="1"/>
    <n v="250"/>
    <n v="20"/>
    <n v="6000"/>
    <n v="2175"/>
    <n v="300"/>
    <n v="2.7586206896551726"/>
  </r>
  <r>
    <x v="15"/>
    <n v="5"/>
    <n v="8"/>
    <n v="2"/>
    <n v="230"/>
    <n v="20"/>
    <n v="6000"/>
    <n v="2015"/>
    <n v="300"/>
    <n v="2.9776674937965262"/>
  </r>
  <r>
    <x v="16"/>
    <n v="9"/>
    <n v="1"/>
    <n v="4"/>
    <n v="240"/>
    <n v="20"/>
    <n v="6000"/>
    <n v="2090"/>
    <n v="300"/>
    <n v="2.8708133971291865"/>
  </r>
  <r>
    <x v="17"/>
    <n v="11"/>
    <n v="2"/>
    <n v="3"/>
    <n v="220"/>
    <n v="20"/>
    <n v="6000"/>
    <n v="1940"/>
    <n v="300"/>
    <n v="3.0927835051546393"/>
  </r>
  <r>
    <x v="18"/>
    <n v="10"/>
    <n v="4"/>
    <n v="2"/>
    <n v="210"/>
    <n v="20"/>
    <n v="6000"/>
    <n v="1860"/>
    <n v="300"/>
    <n v="3.225806451612903"/>
  </r>
  <r>
    <x v="19"/>
    <n v="7"/>
    <n v="6"/>
    <n v="8"/>
    <n v="240"/>
    <n v="20"/>
    <n v="6000"/>
    <n v="2125"/>
    <n v="300"/>
    <n v="2.8235294117647061"/>
  </r>
  <r>
    <x v="20"/>
    <n v="6"/>
    <n v="8"/>
    <n v="1"/>
    <n v="200"/>
    <n v="30"/>
    <n v="6000"/>
    <n v="1825"/>
    <n v="200"/>
    <n v="3.2876712328767121"/>
  </r>
  <r>
    <x v="21"/>
    <n v="9"/>
    <n v="1"/>
    <n v="2"/>
    <n v="210"/>
    <n v="30"/>
    <n v="6000"/>
    <n v="1890"/>
    <n v="200"/>
    <n v="3.1746031746031744"/>
  </r>
  <r>
    <x v="22"/>
    <n v="10"/>
    <n v="2"/>
    <n v="4"/>
    <n v="200"/>
    <n v="30"/>
    <n v="6000"/>
    <n v="1830"/>
    <n v="200"/>
    <n v="3.278688524590164"/>
  </r>
  <r>
    <x v="23"/>
    <n v="8"/>
    <n v="4"/>
    <n v="3"/>
    <n v="190"/>
    <n v="30"/>
    <n v="6000"/>
    <n v="1745"/>
    <n v="200"/>
    <n v="3.4383954154727792"/>
  </r>
  <r>
    <x v="24"/>
    <n v="11"/>
    <n v="6"/>
    <n v="2"/>
    <n v="200"/>
    <n v="30"/>
    <n v="6000"/>
    <n v="1845"/>
    <n v="200"/>
    <n v="3.2520325203252032"/>
  </r>
  <r>
    <x v="25"/>
    <n v="6"/>
    <n v="8"/>
    <n v="8"/>
    <n v="210"/>
    <n v="30"/>
    <n v="6000"/>
    <n v="1940"/>
    <n v="200"/>
    <n v="3.0927835051546393"/>
  </r>
  <r>
    <x v="26"/>
    <n v="5"/>
    <n v="1"/>
    <n v="1"/>
    <n v="200"/>
    <n v="30"/>
    <n v="6000"/>
    <n v="1785"/>
    <n v="200"/>
    <n v="3.3613445378151261"/>
  </r>
  <r>
    <x v="27"/>
    <n v="8"/>
    <n v="2"/>
    <n v="2"/>
    <n v="210"/>
    <n v="100"/>
    <n v="10000"/>
    <n v="2240"/>
    <n v="100"/>
    <n v="4.4642857142857144"/>
  </r>
  <r>
    <x v="28"/>
    <n v="5"/>
    <n v="4"/>
    <n v="4"/>
    <n v="220"/>
    <n v="100"/>
    <n v="10000"/>
    <n v="2325"/>
    <n v="100"/>
    <n v="4.301075268817204"/>
  </r>
  <r>
    <x v="29"/>
    <n v="9"/>
    <n v="6"/>
    <n v="3"/>
    <n v="230"/>
    <n v="100"/>
    <n v="10000"/>
    <n v="2430"/>
    <n v="100"/>
    <n v="4.1152263374485596"/>
  </r>
  <r>
    <x v="30"/>
    <n v="11"/>
    <n v="8"/>
    <n v="2"/>
    <n v="220"/>
    <n v="100"/>
    <n v="10000"/>
    <n v="2365"/>
    <n v="100"/>
    <n v="4.2283298097251585"/>
  </r>
  <r>
    <x v="31"/>
    <n v="10"/>
    <n v="1"/>
    <n v="8"/>
    <n v="210"/>
    <n v="100"/>
    <n v="10000"/>
    <n v="2275"/>
    <n v="100"/>
    <n v="4.395604395604396"/>
  </r>
  <r>
    <x v="32"/>
    <n v="7"/>
    <n v="2"/>
    <n v="1"/>
    <n v="230"/>
    <n v="100"/>
    <n v="10000"/>
    <n v="2390"/>
    <n v="100"/>
    <n v="4.1841004184100417"/>
  </r>
  <r>
    <x v="33"/>
    <n v="6"/>
    <n v="4"/>
    <n v="2"/>
    <n v="180"/>
    <n v="125"/>
    <n v="10000"/>
    <n v="2125"/>
    <n v="80"/>
    <n v="4.7058823529411766"/>
  </r>
  <r>
    <x v="34"/>
    <n v="9"/>
    <n v="6"/>
    <n v="4"/>
    <n v="170"/>
    <n v="125"/>
    <n v="10000"/>
    <n v="2080"/>
    <n v="80"/>
    <n v="4.8076923076923075"/>
  </r>
  <r>
    <x v="35"/>
    <n v="10"/>
    <n v="8"/>
    <n v="3"/>
    <n v="160"/>
    <n v="125"/>
    <n v="10000"/>
    <n v="2010"/>
    <n v="80"/>
    <n v="4.9751243781094523"/>
  </r>
  <r>
    <x v="36"/>
    <n v="8"/>
    <n v="1"/>
    <n v="2"/>
    <n v="190"/>
    <n v="125"/>
    <n v="10000"/>
    <n v="2200"/>
    <n v="80"/>
    <n v="4.5454545454545459"/>
  </r>
  <r>
    <x v="37"/>
    <n v="11"/>
    <n v="2"/>
    <n v="8"/>
    <n v="180"/>
    <n v="125"/>
    <n v="10000"/>
    <n v="2170"/>
    <n v="80"/>
    <n v="4.6082949308755756"/>
  </r>
  <r>
    <x v="38"/>
    <n v="6"/>
    <n v="4"/>
    <n v="1"/>
    <n v="170"/>
    <n v="125"/>
    <n v="10000"/>
    <n v="2040"/>
    <n v="80"/>
    <n v="4.9019607843137258"/>
  </r>
  <r>
    <x v="39"/>
    <n v="5"/>
    <n v="6"/>
    <n v="2"/>
    <n v="110"/>
    <n v="200"/>
    <n v="10000"/>
    <n v="1945"/>
    <n v="50"/>
    <n v="5.1413881748071981"/>
  </r>
  <r>
    <x v="40"/>
    <n v="8"/>
    <n v="8"/>
    <n v="4"/>
    <n v="100"/>
    <n v="200"/>
    <n v="10000"/>
    <n v="1900"/>
    <n v="50"/>
    <n v="5.2631578947368425"/>
  </r>
  <r>
    <x v="41"/>
    <n v="5"/>
    <n v="1"/>
    <n v="3"/>
    <n v="120"/>
    <n v="200"/>
    <n v="10000"/>
    <n v="2005"/>
    <n v="50"/>
    <n v="4.9875311720698257"/>
  </r>
  <r>
    <x v="42"/>
    <n v="9"/>
    <n v="2"/>
    <n v="2"/>
    <n v="110"/>
    <n v="200"/>
    <n v="10000"/>
    <n v="1945"/>
    <n v="50"/>
    <n v="5.1413881748071981"/>
  </r>
  <r>
    <x v="43"/>
    <n v="11"/>
    <n v="4"/>
    <n v="8"/>
    <n v="100"/>
    <n v="200"/>
    <n v="10000"/>
    <n v="1915"/>
    <n v="50"/>
    <n v="5.2219321148825069"/>
  </r>
  <r>
    <x v="44"/>
    <n v="10"/>
    <n v="6"/>
    <n v="1"/>
    <n v="120"/>
    <n v="200"/>
    <n v="10000"/>
    <n v="2045"/>
    <n v="50"/>
    <n v="4.8899755501222497"/>
  </r>
  <r>
    <x v="45"/>
    <n v="7"/>
    <n v="8"/>
    <n v="2"/>
    <n v="110"/>
    <n v="200"/>
    <n v="10000"/>
    <n v="1965"/>
    <n v="50"/>
    <n v="5.0890585241730282"/>
  </r>
  <r>
    <x v="46"/>
    <n v="6"/>
    <n v="1"/>
    <n v="4"/>
    <n v="70"/>
    <n v="300"/>
    <n v="12000"/>
    <n v="2115"/>
    <n v="40"/>
    <n v="5.6737588652482271"/>
  </r>
  <r>
    <x v="47"/>
    <n v="9"/>
    <n v="2"/>
    <n v="3"/>
    <n v="50"/>
    <n v="300"/>
    <n v="12000"/>
    <n v="1970"/>
    <n v="40"/>
    <n v="6.0913705583756341"/>
  </r>
  <r>
    <x v="48"/>
    <n v="10"/>
    <n v="1"/>
    <n v="2"/>
    <n v="60"/>
    <n v="300"/>
    <n v="12000"/>
    <n v="2045"/>
    <n v="40"/>
    <n v="5.8679706601466997"/>
  </r>
  <r>
    <x v="49"/>
    <n v="8"/>
    <n v="4"/>
    <n v="2"/>
    <n v="50"/>
    <n v="300"/>
    <n v="12000"/>
    <n v="1970"/>
    <n v="40"/>
    <n v="6.0913705583756341"/>
  </r>
  <r>
    <x v="50"/>
    <n v="11"/>
    <n v="6"/>
    <n v="8"/>
    <n v="40"/>
    <n v="300"/>
    <n v="12000"/>
    <n v="1945"/>
    <n v="40"/>
    <n v="6.1696658097686372"/>
  </r>
  <r>
    <x v="51"/>
    <n v="6"/>
    <n v="8"/>
    <n v="1"/>
    <n v="50"/>
    <n v="300"/>
    <n v="12000"/>
    <n v="1975"/>
    <n v="40"/>
    <n v="6.075949367088608"/>
  </r>
  <r>
    <x v="52"/>
    <n v="5"/>
    <n v="2"/>
    <n v="4"/>
    <n v="30"/>
    <n v="300"/>
    <n v="12000"/>
    <n v="1795"/>
    <n v="40"/>
    <n v="6.68523676880222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AD5B-8087-419E-B183-9C4507CC2B27}" name="Сводная таблица2" cacheId="2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>
  <location ref="Q5:R58" firstHeaderRow="1" firstDataRow="1" firstDataCol="1"/>
  <pivotFields count="10">
    <pivotField axis="axisRow" showAll="0" sortType="descending" defaultSubtotal="0">
      <items count="54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3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3">
    <i>
      <x v="50"/>
    </i>
    <i>
      <x v="48"/>
    </i>
    <i>
      <x v="47"/>
    </i>
    <i>
      <x v="45"/>
    </i>
    <i>
      <x v="49"/>
    </i>
    <i>
      <x v="46"/>
    </i>
    <i>
      <x v="44"/>
    </i>
    <i>
      <x v="38"/>
    </i>
    <i>
      <x v="41"/>
    </i>
    <i>
      <x v="37"/>
    </i>
    <i>
      <x v="40"/>
    </i>
    <i>
      <x v="43"/>
    </i>
    <i>
      <x v="39"/>
    </i>
    <i>
      <x v="33"/>
    </i>
    <i>
      <x v="36"/>
    </i>
    <i>
      <x v="42"/>
    </i>
    <i>
      <x v="32"/>
    </i>
    <i>
      <x v="31"/>
    </i>
    <i>
      <x v="35"/>
    </i>
    <i>
      <x v="34"/>
    </i>
    <i>
      <x v="25"/>
    </i>
    <i>
      <x v="29"/>
    </i>
    <i>
      <x v="26"/>
    </i>
    <i>
      <x v="28"/>
    </i>
    <i>
      <x v="30"/>
    </i>
    <i>
      <x v="27"/>
    </i>
    <i>
      <x v="21"/>
    </i>
    <i>
      <x v="24"/>
    </i>
    <i>
      <x v="18"/>
    </i>
    <i>
      <x v="20"/>
    </i>
    <i>
      <x v="22"/>
    </i>
    <i>
      <x v="16"/>
    </i>
    <i>
      <x v="19"/>
    </i>
    <i>
      <x v="15"/>
    </i>
    <i>
      <x v="23"/>
    </i>
    <i>
      <x v="13"/>
    </i>
    <i>
      <x v="14"/>
    </i>
    <i>
      <x v="17"/>
    </i>
    <i>
      <x v="12"/>
    </i>
    <i>
      <x v="10"/>
    </i>
    <i>
      <x v="8"/>
    </i>
    <i>
      <x v="9"/>
    </i>
    <i>
      <x v="5"/>
    </i>
    <i>
      <x v="6"/>
    </i>
    <i>
      <x v="11"/>
    </i>
    <i>
      <x v="7"/>
    </i>
    <i>
      <x v="2"/>
    </i>
    <i>
      <x v="53"/>
    </i>
    <i>
      <x v="1"/>
    </i>
    <i>
      <x v="3"/>
    </i>
    <i>
      <x/>
    </i>
    <i>
      <x v="4"/>
    </i>
    <i>
      <x v="52"/>
    </i>
  </rowItems>
  <colItems count="1">
    <i/>
  </colItems>
  <dataFields count="1">
    <dataField name="Сумма по полю Ден/Себ" fld="9" baseField="0" baseItem="3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F041-589F-4086-B5F3-C894EC820BBC}">
  <dimension ref="A1:AG114"/>
  <sheetViews>
    <sheetView tabSelected="1" workbookViewId="0">
      <selection activeCell="AA3" sqref="AA3"/>
    </sheetView>
  </sheetViews>
  <sheetFormatPr defaultRowHeight="14.25" customHeight="1" x14ac:dyDescent="0.2"/>
  <cols>
    <col min="1" max="16" width="9.140625" style="4"/>
    <col min="17" max="17" width="17.28515625" style="4" bestFit="1" customWidth="1"/>
    <col min="18" max="18" width="24.28515625" style="5" bestFit="1" customWidth="1"/>
    <col min="19" max="25" width="9.42578125" style="4" customWidth="1"/>
    <col min="26" max="16384" width="9.140625" style="4"/>
  </cols>
  <sheetData>
    <row r="1" spans="1:33" s="8" customFormat="1" ht="27" customHeight="1" x14ac:dyDescent="0.25">
      <c r="B1" s="7" t="s">
        <v>13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R1" s="8" t="s">
        <v>8</v>
      </c>
      <c r="S1" s="7" t="s">
        <v>3</v>
      </c>
      <c r="T1" s="7" t="s">
        <v>4</v>
      </c>
      <c r="U1" s="7" t="s">
        <v>5</v>
      </c>
      <c r="V1" s="8" t="s">
        <v>6</v>
      </c>
      <c r="W1" s="8" t="s">
        <v>7</v>
      </c>
      <c r="X1" s="8" t="s">
        <v>9</v>
      </c>
      <c r="Y1" s="8" t="s">
        <v>10</v>
      </c>
    </row>
    <row r="2" spans="1:33" s="2" customFormat="1" ht="14.25" customHeight="1" x14ac:dyDescent="0.2">
      <c r="A2" s="2">
        <v>140000</v>
      </c>
      <c r="B2" s="1"/>
      <c r="C2" s="1">
        <v>40</v>
      </c>
      <c r="D2" s="1">
        <v>20</v>
      </c>
      <c r="E2" s="1">
        <v>20</v>
      </c>
      <c r="F2" s="1">
        <v>400</v>
      </c>
      <c r="G2" s="1">
        <v>80</v>
      </c>
      <c r="H2" s="1">
        <f>H3+A2</f>
        <v>244000</v>
      </c>
      <c r="R2" s="11"/>
    </row>
    <row r="3" spans="1:33" s="2" customFormat="1" ht="14.25" customHeight="1" x14ac:dyDescent="0.2">
      <c r="B3" s="1"/>
      <c r="C3" s="1">
        <f>C2*26</f>
        <v>1040</v>
      </c>
      <c r="D3" s="1">
        <f t="shared" ref="D3:G3" si="0">D2*26</f>
        <v>520</v>
      </c>
      <c r="E3" s="1">
        <f t="shared" si="0"/>
        <v>520</v>
      </c>
      <c r="F3" s="1">
        <f t="shared" si="0"/>
        <v>10400</v>
      </c>
      <c r="G3" s="1">
        <f t="shared" si="0"/>
        <v>2080</v>
      </c>
      <c r="H3" s="1">
        <f>G3*5+F3*8+E3*5+D3*5+C3*5</f>
        <v>104000</v>
      </c>
      <c r="R3" s="11"/>
    </row>
    <row r="4" spans="1:33" s="2" customFormat="1" ht="14.25" customHeight="1" x14ac:dyDescent="0.2">
      <c r="B4" s="1"/>
      <c r="C4" s="1">
        <f t="shared" ref="C4:H4" si="1">SUM(C6:C57)</f>
        <v>420</v>
      </c>
      <c r="D4" s="1">
        <f t="shared" si="1"/>
        <v>214</v>
      </c>
      <c r="E4" s="1">
        <f t="shared" si="1"/>
        <v>171</v>
      </c>
      <c r="F4" s="1">
        <f t="shared" si="1"/>
        <v>9850</v>
      </c>
      <c r="G4" s="1">
        <f t="shared" si="1"/>
        <v>5250</v>
      </c>
      <c r="H4" s="1">
        <f t="shared" si="1"/>
        <v>395000</v>
      </c>
      <c r="R4" s="11"/>
    </row>
    <row r="5" spans="1:33" s="2" customFormat="1" ht="14.25" customHeight="1" x14ac:dyDescent="0.25">
      <c r="B5" s="1"/>
      <c r="C5" s="6">
        <f>C4/C3</f>
        <v>0.40384615384615385</v>
      </c>
      <c r="D5" s="6">
        <f t="shared" ref="D5:G5" si="2">D4/D3</f>
        <v>0.41153846153846152</v>
      </c>
      <c r="E5" s="6">
        <f t="shared" si="2"/>
        <v>0.32884615384615384</v>
      </c>
      <c r="F5" s="6">
        <f t="shared" si="2"/>
        <v>0.94711538461538458</v>
      </c>
      <c r="G5" s="6">
        <f t="shared" si="2"/>
        <v>2.5240384615384617</v>
      </c>
      <c r="H5" s="1"/>
      <c r="Q5" s="9" t="s">
        <v>11</v>
      </c>
      <c r="R5" t="s">
        <v>14</v>
      </c>
      <c r="S5"/>
      <c r="T5"/>
      <c r="U5"/>
      <c r="V5"/>
      <c r="W5"/>
      <c r="X5"/>
      <c r="AD5" s="2" t="s">
        <v>15</v>
      </c>
      <c r="AG5" s="2" t="s">
        <v>15</v>
      </c>
    </row>
    <row r="6" spans="1:33" ht="14.25" customHeight="1" x14ac:dyDescent="0.25">
      <c r="A6" s="4">
        <v>0</v>
      </c>
      <c r="B6" s="3">
        <v>0</v>
      </c>
      <c r="C6" s="4">
        <v>8</v>
      </c>
      <c r="D6" s="4">
        <v>2</v>
      </c>
      <c r="E6" s="4">
        <v>3</v>
      </c>
      <c r="F6" s="2">
        <v>320</v>
      </c>
      <c r="G6" s="4">
        <v>0</v>
      </c>
      <c r="H6" s="4">
        <v>2500</v>
      </c>
      <c r="I6" s="4">
        <f ca="1">OFFSET(I6,0,-6)*5+OFFSET(I6,0,-5)*5+OFFSET(I6,0,-4)*5+OFFSET(I6,0,-3)*8+OFFSET(I6,0,-2)*5</f>
        <v>2625</v>
      </c>
      <c r="J6" s="4" t="e">
        <f ca="1">OFFSET(J6,0,-2)/OFFSET(J6,0,-3)</f>
        <v>#DIV/0!</v>
      </c>
      <c r="K6" s="5">
        <f ca="1">OFFSET(K6,0,-3)/OFFSET(K6,0,-2)</f>
        <v>0.95238095238095233</v>
      </c>
      <c r="L6" s="4">
        <f ca="1">OFFSET(L6,-1,0)+OFFSET(L6,0,-4)</f>
        <v>2500</v>
      </c>
      <c r="M6" s="4">
        <f ca="1">OFFSET(M6,-1,0)+OFFSET(M6,0,-6)</f>
        <v>0</v>
      </c>
      <c r="Q6" s="10">
        <v>51</v>
      </c>
      <c r="R6" s="13">
        <v>6.6852367688022287</v>
      </c>
      <c r="S6">
        <f>VLOOKUP($Q6,$B$6:$M$57,5,FALSE)</f>
        <v>30</v>
      </c>
      <c r="T6">
        <f>VLOOKUP($Q6,$B$6:$M$57,6,FALSE)</f>
        <v>300</v>
      </c>
      <c r="U6">
        <f>VLOOKUP($Q6,$B$6:$M$57,7,FALSE)</f>
        <v>12000</v>
      </c>
      <c r="V6">
        <f ca="1">VLOOKUP($Q6,$B$6:$M$57,8,FALSE)</f>
        <v>1795</v>
      </c>
      <c r="W6">
        <f ca="1">VLOOKUP($Q6,$B$6:$M$57,9,FALSE)</f>
        <v>40</v>
      </c>
      <c r="X6">
        <f ca="1">OFFSET(X6,-1,0)+OFFSET(X6,0,-3)</f>
        <v>12000</v>
      </c>
      <c r="Y6">
        <f ca="1">OFFSET(Y6,-1,0)+OFFSET(Y6,0,-5)</f>
        <v>300</v>
      </c>
      <c r="AD6" s="4" t="str">
        <f ca="1">_xlfn.CONCAT("[",OFFSET(AD6,0,-27),",",OFFSET(AD6,0,-26),",",OFFSET(AD6,0,-25),",",OFFSET(AD6,0,-24),",",OFFSET(AD6,0,-23),",",OFFSET(AD6,0,-22),"],")</f>
        <v>[8,2,3,320,0,2500],</v>
      </c>
      <c r="AG6" s="4" t="str">
        <f ca="1">_xlfn.CONCAT("[",OFFSET(AG6,0,-32),",",OFFSET(AG6,0,-31),"],")</f>
        <v>[0,0],</v>
      </c>
    </row>
    <row r="7" spans="1:33" ht="14.25" customHeight="1" x14ac:dyDescent="0.25">
      <c r="A7" s="4">
        <v>0</v>
      </c>
      <c r="B7" s="3">
        <v>1</v>
      </c>
      <c r="C7" s="4">
        <v>5</v>
      </c>
      <c r="D7" s="4">
        <v>2</v>
      </c>
      <c r="E7" s="4">
        <v>2</v>
      </c>
      <c r="F7" s="2">
        <v>330</v>
      </c>
      <c r="G7" s="4">
        <v>0</v>
      </c>
      <c r="H7" s="4">
        <v>2500</v>
      </c>
      <c r="I7" s="4">
        <f ca="1">OFFSET(I7,0,-6)*5+OFFSET(I7,0,-5)*5+OFFSET(I7,0,-4)*5+OFFSET(I7,0,-3)*8+OFFSET(I7,0,-2)*5</f>
        <v>2685</v>
      </c>
      <c r="J7" s="4" t="e">
        <f t="shared" ref="J7:J57" ca="1" si="3">OFFSET(J7,0,-2)/OFFSET(J7,0,-3)</f>
        <v>#DIV/0!</v>
      </c>
      <c r="K7" s="5">
        <f t="shared" ref="K7:K57" ca="1" si="4">OFFSET(K7,0,-3)/OFFSET(K7,0,-2)</f>
        <v>0.93109869646182497</v>
      </c>
      <c r="L7" s="4">
        <f t="shared" ref="L7:L57" ca="1" si="5">OFFSET(L7,-1,0)+OFFSET(L7,0,-4)</f>
        <v>5000</v>
      </c>
      <c r="M7" s="4">
        <f t="shared" ref="M7:N57" ca="1" si="6">OFFSET(M7,-1,0)+OFFSET(M7,0,-6)</f>
        <v>0</v>
      </c>
      <c r="Q7" s="10">
        <v>49</v>
      </c>
      <c r="R7" s="13">
        <v>6.1696658097686372</v>
      </c>
      <c r="S7">
        <f t="shared" ref="S7:S57" si="7">VLOOKUP($Q7,$B$6:$M$57,5,FALSE)</f>
        <v>40</v>
      </c>
      <c r="T7">
        <f t="shared" ref="T7:T57" si="8">VLOOKUP($Q7,$B$6:$M$57,6,FALSE)</f>
        <v>300</v>
      </c>
      <c r="U7">
        <f t="shared" ref="U7:U57" si="9">VLOOKUP($Q7,$B$6:$M$57,7,FALSE)</f>
        <v>12000</v>
      </c>
      <c r="V7">
        <f t="shared" ref="V7:V57" ca="1" si="10">VLOOKUP($Q7,$B$6:$M$57,8,FALSE)</f>
        <v>1945</v>
      </c>
      <c r="W7">
        <f t="shared" ref="W7:W57" ca="1" si="11">VLOOKUP($Q7,$B$6:$M$57,9,FALSE)</f>
        <v>40</v>
      </c>
      <c r="X7">
        <f t="shared" ref="X7:X57" ca="1" si="12">OFFSET(X7,-1,0)+OFFSET(X7,0,-3)</f>
        <v>24000</v>
      </c>
      <c r="Y7">
        <f t="shared" ref="Y7:Z57" ca="1" si="13">OFFSET(Y7,-1,0)+OFFSET(Y7,0,-5)</f>
        <v>600</v>
      </c>
      <c r="AD7" s="4" t="str">
        <f t="shared" ref="AD7:AD56" ca="1" si="14">_xlfn.CONCAT("[",OFFSET(AD7,0,-27),",",OFFSET(AD7,0,-26),",",OFFSET(AD7,0,-25),",",OFFSET(AD7,0,-24),",",OFFSET(AD7,0,-23),",",OFFSET(AD7,0,-22),"],")</f>
        <v>[5,2,2,330,0,2500],</v>
      </c>
      <c r="AG7" s="4" t="str">
        <f t="shared" ref="AG7:AG57" ca="1" si="15">_xlfn.CONCAT("[",OFFSET(AG7,0,-32),",",OFFSET(AG7,0,-31),"],")</f>
        <v>[0,1],</v>
      </c>
    </row>
    <row r="8" spans="1:33" ht="14.25" customHeight="1" x14ac:dyDescent="0.25">
      <c r="A8" s="4">
        <v>0</v>
      </c>
      <c r="B8" s="3">
        <v>2</v>
      </c>
      <c r="C8" s="4">
        <v>9</v>
      </c>
      <c r="D8" s="4">
        <v>4</v>
      </c>
      <c r="E8" s="4">
        <v>2</v>
      </c>
      <c r="F8" s="2">
        <v>320</v>
      </c>
      <c r="G8" s="4">
        <v>0</v>
      </c>
      <c r="H8" s="4">
        <v>2500</v>
      </c>
      <c r="I8" s="4">
        <f t="shared" ref="I8:I57" ca="1" si="16">OFFSET(I8,0,-6)*5+OFFSET(I8,0,-5)*5+OFFSET(I8,0,-4)*5+OFFSET(I8,0,-3)*8+OFFSET(I8,0,-2)*5</f>
        <v>2635</v>
      </c>
      <c r="J8" s="4" t="e">
        <f t="shared" ca="1" si="3"/>
        <v>#DIV/0!</v>
      </c>
      <c r="K8" s="5">
        <f t="shared" ca="1" si="4"/>
        <v>0.94876660341555974</v>
      </c>
      <c r="L8" s="4">
        <f t="shared" ca="1" si="5"/>
        <v>7500</v>
      </c>
      <c r="M8" s="4">
        <f t="shared" ca="1" si="6"/>
        <v>0</v>
      </c>
      <c r="Q8" s="10">
        <v>48</v>
      </c>
      <c r="R8" s="13">
        <v>6.0913705583756341</v>
      </c>
      <c r="S8">
        <f t="shared" si="7"/>
        <v>50</v>
      </c>
      <c r="T8">
        <f t="shared" si="8"/>
        <v>300</v>
      </c>
      <c r="U8">
        <f t="shared" si="9"/>
        <v>12000</v>
      </c>
      <c r="V8">
        <f t="shared" ca="1" si="10"/>
        <v>1970</v>
      </c>
      <c r="W8">
        <f t="shared" ca="1" si="11"/>
        <v>40</v>
      </c>
      <c r="X8">
        <f t="shared" ca="1" si="12"/>
        <v>36000</v>
      </c>
      <c r="Y8">
        <f t="shared" ca="1" si="13"/>
        <v>900</v>
      </c>
      <c r="AD8" s="4" t="str">
        <f t="shared" ca="1" si="14"/>
        <v>[9,4,2,320,0,2500],</v>
      </c>
      <c r="AG8" s="4" t="str">
        <f t="shared" ca="1" si="15"/>
        <v>[0,2],</v>
      </c>
    </row>
    <row r="9" spans="1:33" ht="14.25" customHeight="1" x14ac:dyDescent="0.25">
      <c r="A9" s="4">
        <v>0</v>
      </c>
      <c r="B9" s="3">
        <v>3</v>
      </c>
      <c r="C9" s="4">
        <v>11</v>
      </c>
      <c r="D9" s="4">
        <v>6</v>
      </c>
      <c r="E9" s="4">
        <v>4</v>
      </c>
      <c r="F9" s="2">
        <v>310</v>
      </c>
      <c r="G9" s="4">
        <v>0</v>
      </c>
      <c r="H9" s="4">
        <v>2500</v>
      </c>
      <c r="I9" s="4">
        <f t="shared" ca="1" si="16"/>
        <v>2585</v>
      </c>
      <c r="J9" s="4" t="e">
        <f t="shared" ca="1" si="3"/>
        <v>#DIV/0!</v>
      </c>
      <c r="K9" s="5">
        <f t="shared" ca="1" si="4"/>
        <v>0.96711798839458418</v>
      </c>
      <c r="L9" s="4">
        <f t="shared" ca="1" si="5"/>
        <v>10000</v>
      </c>
      <c r="M9" s="4">
        <f t="shared" ca="1" si="6"/>
        <v>0</v>
      </c>
      <c r="Q9" s="10">
        <v>46</v>
      </c>
      <c r="R9" s="13">
        <v>6.0913705583756341</v>
      </c>
      <c r="S9">
        <f t="shared" si="7"/>
        <v>50</v>
      </c>
      <c r="T9">
        <f t="shared" si="8"/>
        <v>300</v>
      </c>
      <c r="U9">
        <f t="shared" si="9"/>
        <v>12000</v>
      </c>
      <c r="V9">
        <f t="shared" ca="1" si="10"/>
        <v>1970</v>
      </c>
      <c r="W9">
        <f t="shared" ca="1" si="11"/>
        <v>40</v>
      </c>
      <c r="X9">
        <f t="shared" ca="1" si="12"/>
        <v>48000</v>
      </c>
      <c r="Y9">
        <f t="shared" ca="1" si="13"/>
        <v>1200</v>
      </c>
      <c r="AD9" s="4" t="str">
        <f t="shared" ca="1" si="14"/>
        <v>[11,6,4,310,0,2500],</v>
      </c>
      <c r="AG9" s="4" t="str">
        <f t="shared" ca="1" si="15"/>
        <v>[0,3],</v>
      </c>
    </row>
    <row r="10" spans="1:33" ht="14.25" customHeight="1" x14ac:dyDescent="0.25">
      <c r="A10" s="4">
        <v>0</v>
      </c>
      <c r="B10" s="3">
        <v>4</v>
      </c>
      <c r="C10" s="4">
        <v>10</v>
      </c>
      <c r="D10" s="4">
        <v>8</v>
      </c>
      <c r="E10" s="4">
        <v>3</v>
      </c>
      <c r="F10" s="2">
        <v>320</v>
      </c>
      <c r="G10" s="4">
        <v>0</v>
      </c>
      <c r="H10" s="4">
        <v>2500</v>
      </c>
      <c r="I10" s="4">
        <f t="shared" ca="1" si="16"/>
        <v>2665</v>
      </c>
      <c r="J10" s="4" t="e">
        <f t="shared" ca="1" si="3"/>
        <v>#DIV/0!</v>
      </c>
      <c r="K10" s="5">
        <f t="shared" ca="1" si="4"/>
        <v>0.93808630393996251</v>
      </c>
      <c r="L10" s="4">
        <f t="shared" ca="1" si="5"/>
        <v>12500</v>
      </c>
      <c r="M10" s="4">
        <f t="shared" ca="1" si="6"/>
        <v>0</v>
      </c>
      <c r="Q10" s="10">
        <v>50</v>
      </c>
      <c r="R10" s="13">
        <v>6.075949367088608</v>
      </c>
      <c r="S10">
        <f t="shared" si="7"/>
        <v>50</v>
      </c>
      <c r="T10">
        <f t="shared" si="8"/>
        <v>300</v>
      </c>
      <c r="U10">
        <f t="shared" si="9"/>
        <v>12000</v>
      </c>
      <c r="V10">
        <f t="shared" ca="1" si="10"/>
        <v>1975</v>
      </c>
      <c r="W10">
        <f t="shared" ca="1" si="11"/>
        <v>40</v>
      </c>
      <c r="X10">
        <f t="shared" ca="1" si="12"/>
        <v>60000</v>
      </c>
      <c r="Y10">
        <f t="shared" ca="1" si="13"/>
        <v>1500</v>
      </c>
      <c r="AD10" s="4" t="str">
        <f t="shared" ca="1" si="14"/>
        <v>[10,8,3,320,0,2500],</v>
      </c>
      <c r="AG10" s="4" t="str">
        <f t="shared" ca="1" si="15"/>
        <v>[0,4],</v>
      </c>
    </row>
    <row r="11" spans="1:33" ht="14.25" customHeight="1" x14ac:dyDescent="0.25">
      <c r="A11" s="4">
        <v>0</v>
      </c>
      <c r="B11" s="3">
        <v>5</v>
      </c>
      <c r="C11" s="4">
        <v>7</v>
      </c>
      <c r="D11" s="4">
        <v>1</v>
      </c>
      <c r="E11" s="4">
        <v>2</v>
      </c>
      <c r="F11" s="2">
        <v>330</v>
      </c>
      <c r="G11" s="4">
        <v>0</v>
      </c>
      <c r="H11" s="4">
        <v>2500</v>
      </c>
      <c r="I11" s="4">
        <f t="shared" ca="1" si="16"/>
        <v>2690</v>
      </c>
      <c r="J11" s="4" t="e">
        <f t="shared" ca="1" si="3"/>
        <v>#DIV/0!</v>
      </c>
      <c r="K11" s="5">
        <f t="shared" ca="1" si="4"/>
        <v>0.92936802973977695</v>
      </c>
      <c r="L11" s="4">
        <f t="shared" ca="1" si="5"/>
        <v>15000</v>
      </c>
      <c r="M11" s="4">
        <f t="shared" ca="1" si="6"/>
        <v>0</v>
      </c>
      <c r="Q11" s="10">
        <v>47</v>
      </c>
      <c r="R11" s="13">
        <v>5.8679706601466997</v>
      </c>
      <c r="S11">
        <f t="shared" si="7"/>
        <v>60</v>
      </c>
      <c r="T11">
        <f t="shared" si="8"/>
        <v>300</v>
      </c>
      <c r="U11">
        <f t="shared" si="9"/>
        <v>12000</v>
      </c>
      <c r="V11">
        <f t="shared" ca="1" si="10"/>
        <v>2045</v>
      </c>
      <c r="W11">
        <f t="shared" ca="1" si="11"/>
        <v>40</v>
      </c>
      <c r="X11">
        <f t="shared" ca="1" si="12"/>
        <v>72000</v>
      </c>
      <c r="Y11">
        <f t="shared" ca="1" si="13"/>
        <v>1800</v>
      </c>
      <c r="AD11" s="4" t="str">
        <f t="shared" ca="1" si="14"/>
        <v>[7,1,2,330,0,2500],</v>
      </c>
      <c r="AG11" s="4" t="str">
        <f t="shared" ca="1" si="15"/>
        <v>[0,5],</v>
      </c>
    </row>
    <row r="12" spans="1:33" ht="14.25" customHeight="1" x14ac:dyDescent="0.25">
      <c r="A12" s="4">
        <v>1</v>
      </c>
      <c r="B12" s="3">
        <v>6</v>
      </c>
      <c r="C12" s="4">
        <v>6</v>
      </c>
      <c r="D12" s="4">
        <v>2</v>
      </c>
      <c r="E12" s="4">
        <v>8</v>
      </c>
      <c r="F12" s="2">
        <v>230</v>
      </c>
      <c r="G12" s="4">
        <v>10</v>
      </c>
      <c r="H12" s="4">
        <v>4000</v>
      </c>
      <c r="I12" s="4">
        <f t="shared" ca="1" si="16"/>
        <v>1970</v>
      </c>
      <c r="J12" s="4">
        <f t="shared" ca="1" si="3"/>
        <v>400</v>
      </c>
      <c r="K12" s="5">
        <f t="shared" ca="1" si="4"/>
        <v>2.030456852791878</v>
      </c>
      <c r="L12" s="4">
        <f t="shared" ca="1" si="5"/>
        <v>19000</v>
      </c>
      <c r="M12" s="4">
        <f t="shared" ca="1" si="6"/>
        <v>10</v>
      </c>
      <c r="N12" s="4">
        <f ca="1">OFFSET(N12,-1,0)+OFFSET(N12,0,-6)</f>
        <v>4000</v>
      </c>
      <c r="O12" s="4">
        <f ca="1">OFFSET(O12,-1,0)+OFFSET(O12,0,-8)</f>
        <v>10</v>
      </c>
      <c r="Q12" s="10">
        <v>45</v>
      </c>
      <c r="R12" s="13">
        <v>5.6737588652482271</v>
      </c>
      <c r="S12">
        <f t="shared" si="7"/>
        <v>70</v>
      </c>
      <c r="T12">
        <f t="shared" si="8"/>
        <v>300</v>
      </c>
      <c r="U12">
        <f t="shared" si="9"/>
        <v>12000</v>
      </c>
      <c r="V12">
        <f t="shared" ca="1" si="10"/>
        <v>2115</v>
      </c>
      <c r="W12">
        <f t="shared" ca="1" si="11"/>
        <v>40</v>
      </c>
      <c r="X12">
        <f t="shared" ca="1" si="12"/>
        <v>84000</v>
      </c>
      <c r="Y12">
        <f t="shared" ca="1" si="13"/>
        <v>2100</v>
      </c>
      <c r="AD12" s="4" t="str">
        <f t="shared" ca="1" si="14"/>
        <v>[6,2,8,230,10,4000],</v>
      </c>
      <c r="AG12" s="4" t="str">
        <f t="shared" ca="1" si="15"/>
        <v>[1,6],</v>
      </c>
    </row>
    <row r="13" spans="1:33" ht="14.25" customHeight="1" x14ac:dyDescent="0.25">
      <c r="A13" s="4">
        <v>1</v>
      </c>
      <c r="B13" s="3">
        <v>7</v>
      </c>
      <c r="C13" s="4">
        <v>9</v>
      </c>
      <c r="D13" s="4">
        <v>4</v>
      </c>
      <c r="E13" s="4">
        <v>1</v>
      </c>
      <c r="F13" s="2">
        <v>240</v>
      </c>
      <c r="G13" s="4">
        <v>10</v>
      </c>
      <c r="H13" s="4">
        <v>4000</v>
      </c>
      <c r="I13" s="4">
        <f t="shared" ca="1" si="16"/>
        <v>2040</v>
      </c>
      <c r="J13" s="4">
        <f t="shared" ca="1" si="3"/>
        <v>400</v>
      </c>
      <c r="K13" s="5">
        <f t="shared" ca="1" si="4"/>
        <v>1.9607843137254901</v>
      </c>
      <c r="L13" s="4">
        <f t="shared" ca="1" si="5"/>
        <v>23000</v>
      </c>
      <c r="M13" s="4">
        <f t="shared" ca="1" si="6"/>
        <v>20</v>
      </c>
      <c r="N13" s="4">
        <f t="shared" ca="1" si="6"/>
        <v>8000</v>
      </c>
      <c r="O13" s="4">
        <f t="shared" ref="O13:O57" ca="1" si="17">OFFSET(O13,-1,0)+OFFSET(O13,0,-8)</f>
        <v>20</v>
      </c>
      <c r="Q13" s="10">
        <v>39</v>
      </c>
      <c r="R13" s="13">
        <v>5.2631578947368425</v>
      </c>
      <c r="S13">
        <f t="shared" si="7"/>
        <v>100</v>
      </c>
      <c r="T13">
        <f t="shared" si="8"/>
        <v>200</v>
      </c>
      <c r="U13">
        <f t="shared" si="9"/>
        <v>10000</v>
      </c>
      <c r="V13">
        <f t="shared" ca="1" si="10"/>
        <v>1900</v>
      </c>
      <c r="W13">
        <f t="shared" ca="1" si="11"/>
        <v>50</v>
      </c>
      <c r="X13">
        <f t="shared" ca="1" si="12"/>
        <v>94000</v>
      </c>
      <c r="Y13">
        <f t="shared" ca="1" si="13"/>
        <v>2300</v>
      </c>
      <c r="Z13" s="4">
        <f ca="1">OFFSET(Z13,-1,0)+OFFSET(Z13,0,-5)</f>
        <v>10000</v>
      </c>
      <c r="AA13" s="4">
        <f ca="1">OFFSET(AA13,-1,0)+OFFSET(AA13,0,-7)</f>
        <v>200</v>
      </c>
      <c r="AD13" s="4" t="str">
        <f t="shared" ca="1" si="14"/>
        <v>[9,4,1,240,10,4000],</v>
      </c>
      <c r="AG13" s="4" t="str">
        <f t="shared" ca="1" si="15"/>
        <v>[1,7],</v>
      </c>
    </row>
    <row r="14" spans="1:33" ht="14.25" customHeight="1" x14ac:dyDescent="0.25">
      <c r="A14" s="4">
        <v>1</v>
      </c>
      <c r="B14" s="3">
        <v>8</v>
      </c>
      <c r="C14" s="4">
        <v>10</v>
      </c>
      <c r="D14" s="4">
        <v>6</v>
      </c>
      <c r="E14" s="4">
        <v>2</v>
      </c>
      <c r="F14" s="2">
        <v>250</v>
      </c>
      <c r="G14" s="4">
        <v>10</v>
      </c>
      <c r="H14" s="4">
        <v>4000</v>
      </c>
      <c r="I14" s="4">
        <f t="shared" ca="1" si="16"/>
        <v>2140</v>
      </c>
      <c r="J14" s="4">
        <f t="shared" ca="1" si="3"/>
        <v>400</v>
      </c>
      <c r="K14" s="5">
        <f t="shared" ca="1" si="4"/>
        <v>1.8691588785046729</v>
      </c>
      <c r="L14" s="4">
        <f t="shared" ca="1" si="5"/>
        <v>27000</v>
      </c>
      <c r="M14" s="4">
        <f t="shared" ca="1" si="6"/>
        <v>30</v>
      </c>
      <c r="N14" s="4">
        <f t="shared" ca="1" si="6"/>
        <v>12000</v>
      </c>
      <c r="O14" s="4">
        <f t="shared" ca="1" si="17"/>
        <v>30</v>
      </c>
      <c r="Q14" s="10">
        <v>42</v>
      </c>
      <c r="R14" s="13">
        <v>5.2219321148825069</v>
      </c>
      <c r="S14">
        <f t="shared" si="7"/>
        <v>100</v>
      </c>
      <c r="T14">
        <f t="shared" si="8"/>
        <v>200</v>
      </c>
      <c r="U14">
        <f t="shared" si="9"/>
        <v>10000</v>
      </c>
      <c r="V14">
        <f t="shared" ca="1" si="10"/>
        <v>1915</v>
      </c>
      <c r="W14">
        <f t="shared" ca="1" si="11"/>
        <v>50</v>
      </c>
      <c r="X14">
        <f t="shared" ca="1" si="12"/>
        <v>104000</v>
      </c>
      <c r="Y14">
        <f t="shared" ca="1" si="13"/>
        <v>2500</v>
      </c>
      <c r="Z14" s="4">
        <f t="shared" ca="1" si="13"/>
        <v>20000</v>
      </c>
      <c r="AA14" s="4">
        <f t="shared" ref="AA14:AA57" ca="1" si="18">OFFSET(AA14,-1,0)+OFFSET(AA14,0,-7)</f>
        <v>400</v>
      </c>
      <c r="AD14" s="4" t="str">
        <f t="shared" ca="1" si="14"/>
        <v>[10,6,2,250,10,4000],</v>
      </c>
      <c r="AG14" s="4" t="str">
        <f t="shared" ca="1" si="15"/>
        <v>[1,8],</v>
      </c>
    </row>
    <row r="15" spans="1:33" ht="14.25" customHeight="1" x14ac:dyDescent="0.25">
      <c r="A15" s="4">
        <v>1</v>
      </c>
      <c r="B15" s="3">
        <v>9</v>
      </c>
      <c r="C15" s="4">
        <v>8</v>
      </c>
      <c r="D15" s="4">
        <v>8</v>
      </c>
      <c r="E15" s="4">
        <v>4</v>
      </c>
      <c r="F15" s="2">
        <v>220</v>
      </c>
      <c r="G15" s="4">
        <v>10</v>
      </c>
      <c r="H15" s="4">
        <v>4000</v>
      </c>
      <c r="I15" s="4">
        <f t="shared" ca="1" si="16"/>
        <v>1910</v>
      </c>
      <c r="J15" s="4">
        <f t="shared" ca="1" si="3"/>
        <v>400</v>
      </c>
      <c r="K15" s="5">
        <f t="shared" ca="1" si="4"/>
        <v>2.0942408376963351</v>
      </c>
      <c r="L15" s="4">
        <f t="shared" ca="1" si="5"/>
        <v>31000</v>
      </c>
      <c r="M15" s="4">
        <f t="shared" ca="1" si="6"/>
        <v>40</v>
      </c>
      <c r="N15" s="4">
        <f t="shared" ca="1" si="6"/>
        <v>16000</v>
      </c>
      <c r="O15" s="4">
        <f t="shared" ca="1" si="17"/>
        <v>40</v>
      </c>
      <c r="Q15" s="10">
        <v>38</v>
      </c>
      <c r="R15" s="13">
        <v>5.1413881748071981</v>
      </c>
      <c r="S15">
        <f t="shared" si="7"/>
        <v>110</v>
      </c>
      <c r="T15">
        <f t="shared" si="8"/>
        <v>200</v>
      </c>
      <c r="U15">
        <f t="shared" si="9"/>
        <v>10000</v>
      </c>
      <c r="V15">
        <f t="shared" ca="1" si="10"/>
        <v>1945</v>
      </c>
      <c r="W15">
        <f t="shared" ca="1" si="11"/>
        <v>50</v>
      </c>
      <c r="X15">
        <f t="shared" ca="1" si="12"/>
        <v>114000</v>
      </c>
      <c r="Y15">
        <f t="shared" ca="1" si="13"/>
        <v>2700</v>
      </c>
      <c r="Z15" s="4">
        <f t="shared" ca="1" si="13"/>
        <v>30000</v>
      </c>
      <c r="AA15" s="4">
        <f t="shared" ca="1" si="18"/>
        <v>600</v>
      </c>
      <c r="AD15" s="4" t="str">
        <f t="shared" ca="1" si="14"/>
        <v>[8,8,4,220,10,4000],</v>
      </c>
      <c r="AG15" s="4" t="str">
        <f t="shared" ca="1" si="15"/>
        <v>[1,9],</v>
      </c>
    </row>
    <row r="16" spans="1:33" ht="14.25" customHeight="1" x14ac:dyDescent="0.25">
      <c r="A16" s="4">
        <v>1</v>
      </c>
      <c r="B16" s="3">
        <v>10</v>
      </c>
      <c r="C16" s="4">
        <v>11</v>
      </c>
      <c r="D16" s="4">
        <v>1</v>
      </c>
      <c r="E16" s="4">
        <v>3</v>
      </c>
      <c r="F16" s="2">
        <v>230</v>
      </c>
      <c r="G16" s="4">
        <v>10</v>
      </c>
      <c r="H16" s="4">
        <v>4000</v>
      </c>
      <c r="I16" s="4">
        <f t="shared" ca="1" si="16"/>
        <v>1965</v>
      </c>
      <c r="J16" s="4">
        <f t="shared" ca="1" si="3"/>
        <v>400</v>
      </c>
      <c r="K16" s="5">
        <f t="shared" ca="1" si="4"/>
        <v>2.0356234096692112</v>
      </c>
      <c r="L16" s="4">
        <f t="shared" ca="1" si="5"/>
        <v>35000</v>
      </c>
      <c r="M16" s="4">
        <f t="shared" ca="1" si="6"/>
        <v>50</v>
      </c>
      <c r="N16" s="4">
        <f t="shared" ca="1" si="6"/>
        <v>20000</v>
      </c>
      <c r="O16" s="4">
        <f t="shared" ca="1" si="17"/>
        <v>50</v>
      </c>
      <c r="Q16" s="10">
        <v>41</v>
      </c>
      <c r="R16" s="13">
        <v>5.1413881748071981</v>
      </c>
      <c r="S16">
        <f t="shared" si="7"/>
        <v>110</v>
      </c>
      <c r="T16">
        <f t="shared" si="8"/>
        <v>200</v>
      </c>
      <c r="U16">
        <f t="shared" si="9"/>
        <v>10000</v>
      </c>
      <c r="V16">
        <f t="shared" ca="1" si="10"/>
        <v>1945</v>
      </c>
      <c r="W16">
        <f t="shared" ca="1" si="11"/>
        <v>50</v>
      </c>
      <c r="X16">
        <f t="shared" ca="1" si="12"/>
        <v>124000</v>
      </c>
      <c r="Y16">
        <f t="shared" ca="1" si="13"/>
        <v>2900</v>
      </c>
      <c r="Z16" s="4">
        <f t="shared" ca="1" si="13"/>
        <v>40000</v>
      </c>
      <c r="AA16" s="4">
        <f t="shared" ca="1" si="18"/>
        <v>800</v>
      </c>
      <c r="AD16" s="4" t="str">
        <f t="shared" ca="1" si="14"/>
        <v>[11,1,3,230,10,4000],</v>
      </c>
      <c r="AG16" s="4" t="str">
        <f t="shared" ca="1" si="15"/>
        <v>[1,10],</v>
      </c>
    </row>
    <row r="17" spans="1:33" ht="14.25" customHeight="1" x14ac:dyDescent="0.25">
      <c r="A17" s="4">
        <v>1</v>
      </c>
      <c r="B17" s="3">
        <v>11</v>
      </c>
      <c r="C17" s="4">
        <v>6</v>
      </c>
      <c r="D17" s="4">
        <v>2</v>
      </c>
      <c r="E17" s="4">
        <v>2</v>
      </c>
      <c r="F17" s="2">
        <v>220</v>
      </c>
      <c r="G17" s="4">
        <v>10</v>
      </c>
      <c r="H17" s="4">
        <v>4000</v>
      </c>
      <c r="I17" s="4">
        <f t="shared" ca="1" si="16"/>
        <v>1860</v>
      </c>
      <c r="J17" s="4">
        <f t="shared" ca="1" si="3"/>
        <v>400</v>
      </c>
      <c r="K17" s="5">
        <f t="shared" ca="1" si="4"/>
        <v>2.150537634408602</v>
      </c>
      <c r="L17" s="4">
        <f t="shared" ca="1" si="5"/>
        <v>39000</v>
      </c>
      <c r="M17" s="4">
        <f t="shared" ca="1" si="6"/>
        <v>60</v>
      </c>
      <c r="N17" s="4">
        <f t="shared" ca="1" si="6"/>
        <v>24000</v>
      </c>
      <c r="O17" s="4">
        <f t="shared" ca="1" si="17"/>
        <v>60</v>
      </c>
      <c r="Q17" s="10">
        <v>44</v>
      </c>
      <c r="R17" s="13">
        <v>5.0890585241730282</v>
      </c>
      <c r="S17">
        <f t="shared" si="7"/>
        <v>110</v>
      </c>
      <c r="T17">
        <f t="shared" si="8"/>
        <v>200</v>
      </c>
      <c r="U17">
        <f t="shared" si="9"/>
        <v>10000</v>
      </c>
      <c r="V17">
        <f t="shared" ca="1" si="10"/>
        <v>1965</v>
      </c>
      <c r="W17">
        <f t="shared" ca="1" si="11"/>
        <v>50</v>
      </c>
      <c r="X17">
        <f t="shared" ca="1" si="12"/>
        <v>134000</v>
      </c>
      <c r="Y17">
        <f t="shared" ca="1" si="13"/>
        <v>3100</v>
      </c>
      <c r="Z17" s="4">
        <f t="shared" ca="1" si="13"/>
        <v>50000</v>
      </c>
      <c r="AA17" s="4">
        <f t="shared" ca="1" si="18"/>
        <v>1000</v>
      </c>
      <c r="AD17" s="4" t="str">
        <f t="shared" ca="1" si="14"/>
        <v>[6,2,2,220,10,4000],</v>
      </c>
      <c r="AG17" s="4" t="str">
        <f t="shared" ca="1" si="15"/>
        <v>[1,11],</v>
      </c>
    </row>
    <row r="18" spans="1:33" ht="14.25" customHeight="1" x14ac:dyDescent="0.25">
      <c r="A18" s="4">
        <v>6</v>
      </c>
      <c r="B18" s="3">
        <v>12</v>
      </c>
      <c r="C18" s="4">
        <v>5</v>
      </c>
      <c r="D18" s="4">
        <v>4</v>
      </c>
      <c r="E18" s="4">
        <v>8</v>
      </c>
      <c r="F18" s="2">
        <v>240</v>
      </c>
      <c r="G18" s="4">
        <v>10</v>
      </c>
      <c r="H18" s="4">
        <v>4000</v>
      </c>
      <c r="I18" s="4">
        <f t="shared" ca="1" si="16"/>
        <v>2055</v>
      </c>
      <c r="J18" s="4">
        <f t="shared" ca="1" si="3"/>
        <v>400</v>
      </c>
      <c r="K18" s="5">
        <f t="shared" ca="1" si="4"/>
        <v>1.9464720194647203</v>
      </c>
      <c r="L18" s="4">
        <f t="shared" ca="1" si="5"/>
        <v>43000</v>
      </c>
      <c r="M18" s="4">
        <f t="shared" ca="1" si="6"/>
        <v>70</v>
      </c>
      <c r="N18" s="4">
        <f t="shared" ca="1" si="6"/>
        <v>28000</v>
      </c>
      <c r="O18" s="4">
        <f t="shared" ca="1" si="17"/>
        <v>70</v>
      </c>
      <c r="Q18" s="10">
        <v>40</v>
      </c>
      <c r="R18" s="13">
        <v>4.9875311720698257</v>
      </c>
      <c r="S18">
        <f t="shared" si="7"/>
        <v>120</v>
      </c>
      <c r="T18">
        <f t="shared" si="8"/>
        <v>200</v>
      </c>
      <c r="U18">
        <f t="shared" si="9"/>
        <v>10000</v>
      </c>
      <c r="V18">
        <f t="shared" ca="1" si="10"/>
        <v>2005</v>
      </c>
      <c r="W18">
        <f t="shared" ca="1" si="11"/>
        <v>50</v>
      </c>
      <c r="X18">
        <f t="shared" ca="1" si="12"/>
        <v>144000</v>
      </c>
      <c r="Y18">
        <f t="shared" ca="1" si="13"/>
        <v>3300</v>
      </c>
      <c r="Z18" s="4">
        <f t="shared" ca="1" si="13"/>
        <v>60000</v>
      </c>
      <c r="AA18" s="4">
        <f t="shared" ca="1" si="18"/>
        <v>1200</v>
      </c>
      <c r="AD18" s="4" t="str">
        <f t="shared" ca="1" si="14"/>
        <v>[5,4,8,240,10,4000],</v>
      </c>
      <c r="AG18" s="4" t="str">
        <f t="shared" ca="1" si="15"/>
        <v>[6,12],</v>
      </c>
    </row>
    <row r="19" spans="1:33" ht="14.25" customHeight="1" x14ac:dyDescent="0.25">
      <c r="A19" s="4">
        <v>2</v>
      </c>
      <c r="B19" s="3">
        <v>13</v>
      </c>
      <c r="C19" s="4">
        <v>8</v>
      </c>
      <c r="D19" s="4">
        <v>6</v>
      </c>
      <c r="E19" s="4">
        <v>1</v>
      </c>
      <c r="F19" s="2">
        <v>250</v>
      </c>
      <c r="G19" s="4">
        <v>20</v>
      </c>
      <c r="H19" s="4">
        <v>6000</v>
      </c>
      <c r="I19" s="4">
        <f t="shared" ca="1" si="16"/>
        <v>2175</v>
      </c>
      <c r="J19" s="4">
        <f t="shared" ca="1" si="3"/>
        <v>300</v>
      </c>
      <c r="K19" s="5">
        <f t="shared" ca="1" si="4"/>
        <v>2.7586206896551726</v>
      </c>
      <c r="L19" s="4">
        <f t="shared" ca="1" si="5"/>
        <v>49000</v>
      </c>
      <c r="M19" s="4">
        <f t="shared" ca="1" si="6"/>
        <v>90</v>
      </c>
      <c r="N19" s="4">
        <f t="shared" ca="1" si="6"/>
        <v>34000</v>
      </c>
      <c r="O19" s="4">
        <f t="shared" ca="1" si="17"/>
        <v>90</v>
      </c>
      <c r="Q19" s="10">
        <v>34</v>
      </c>
      <c r="R19" s="13">
        <v>4.9751243781094523</v>
      </c>
      <c r="S19">
        <f t="shared" si="7"/>
        <v>160</v>
      </c>
      <c r="T19">
        <f t="shared" si="8"/>
        <v>125</v>
      </c>
      <c r="U19">
        <f t="shared" si="9"/>
        <v>10000</v>
      </c>
      <c r="V19">
        <f t="shared" ca="1" si="10"/>
        <v>2010</v>
      </c>
      <c r="W19">
        <f t="shared" ca="1" si="11"/>
        <v>80</v>
      </c>
      <c r="X19">
        <f t="shared" ca="1" si="12"/>
        <v>154000</v>
      </c>
      <c r="Y19">
        <f t="shared" ca="1" si="13"/>
        <v>3425</v>
      </c>
      <c r="Z19" s="4">
        <f t="shared" ca="1" si="13"/>
        <v>70000</v>
      </c>
      <c r="AA19" s="4">
        <f t="shared" ca="1" si="18"/>
        <v>1325</v>
      </c>
      <c r="AD19" s="4" t="str">
        <f t="shared" ca="1" si="14"/>
        <v>[8,6,1,250,20,6000],</v>
      </c>
      <c r="AG19" s="4" t="str">
        <f t="shared" ca="1" si="15"/>
        <v>[2,13],</v>
      </c>
    </row>
    <row r="20" spans="1:33" ht="14.25" customHeight="1" x14ac:dyDescent="0.25">
      <c r="A20" s="4">
        <v>2</v>
      </c>
      <c r="B20" s="3">
        <v>14</v>
      </c>
      <c r="C20" s="4">
        <v>5</v>
      </c>
      <c r="D20" s="4">
        <v>8</v>
      </c>
      <c r="E20" s="4">
        <v>2</v>
      </c>
      <c r="F20" s="2">
        <v>230</v>
      </c>
      <c r="G20" s="4">
        <v>20</v>
      </c>
      <c r="H20" s="4">
        <v>6000</v>
      </c>
      <c r="I20" s="4">
        <f t="shared" ca="1" si="16"/>
        <v>2015</v>
      </c>
      <c r="J20" s="4">
        <f t="shared" ca="1" si="3"/>
        <v>300</v>
      </c>
      <c r="K20" s="5">
        <f t="shared" ca="1" si="4"/>
        <v>2.9776674937965262</v>
      </c>
      <c r="L20" s="4">
        <f t="shared" ca="1" si="5"/>
        <v>55000</v>
      </c>
      <c r="M20" s="4">
        <f t="shared" ca="1" si="6"/>
        <v>110</v>
      </c>
      <c r="N20" s="4">
        <f t="shared" ca="1" si="6"/>
        <v>40000</v>
      </c>
      <c r="O20" s="4">
        <f t="shared" ca="1" si="17"/>
        <v>110</v>
      </c>
      <c r="Q20" s="10">
        <v>37</v>
      </c>
      <c r="R20" s="13">
        <v>4.9019607843137258</v>
      </c>
      <c r="S20">
        <f t="shared" si="7"/>
        <v>170</v>
      </c>
      <c r="T20">
        <f t="shared" si="8"/>
        <v>125</v>
      </c>
      <c r="U20">
        <f t="shared" si="9"/>
        <v>10000</v>
      </c>
      <c r="V20">
        <f t="shared" ca="1" si="10"/>
        <v>2040</v>
      </c>
      <c r="W20">
        <f t="shared" ca="1" si="11"/>
        <v>80</v>
      </c>
      <c r="X20">
        <f t="shared" ca="1" si="12"/>
        <v>164000</v>
      </c>
      <c r="Y20">
        <f t="shared" ca="1" si="13"/>
        <v>3550</v>
      </c>
      <c r="Z20" s="4">
        <f t="shared" ca="1" si="13"/>
        <v>80000</v>
      </c>
      <c r="AA20" s="4">
        <f t="shared" ca="1" si="18"/>
        <v>1450</v>
      </c>
      <c r="AD20" s="4" t="str">
        <f t="shared" ca="1" si="14"/>
        <v>[5,8,2,230,20,6000],</v>
      </c>
      <c r="AG20" s="4" t="str">
        <f t="shared" ca="1" si="15"/>
        <v>[2,14],</v>
      </c>
    </row>
    <row r="21" spans="1:33" ht="14.25" customHeight="1" x14ac:dyDescent="0.25">
      <c r="A21" s="4">
        <v>2</v>
      </c>
      <c r="B21" s="3">
        <v>15</v>
      </c>
      <c r="C21" s="4">
        <v>9</v>
      </c>
      <c r="D21" s="4">
        <v>1</v>
      </c>
      <c r="E21" s="4">
        <v>4</v>
      </c>
      <c r="F21" s="2">
        <v>240</v>
      </c>
      <c r="G21" s="4">
        <v>20</v>
      </c>
      <c r="H21" s="4">
        <v>6000</v>
      </c>
      <c r="I21" s="4">
        <f t="shared" ca="1" si="16"/>
        <v>2090</v>
      </c>
      <c r="J21" s="4">
        <f t="shared" ca="1" si="3"/>
        <v>300</v>
      </c>
      <c r="K21" s="5">
        <f t="shared" ca="1" si="4"/>
        <v>2.8708133971291865</v>
      </c>
      <c r="L21" s="4">
        <f t="shared" ca="1" si="5"/>
        <v>61000</v>
      </c>
      <c r="M21" s="4">
        <f t="shared" ca="1" si="6"/>
        <v>130</v>
      </c>
      <c r="N21" s="4">
        <f t="shared" ca="1" si="6"/>
        <v>46000</v>
      </c>
      <c r="O21" s="4">
        <f t="shared" ca="1" si="17"/>
        <v>130</v>
      </c>
      <c r="Q21" s="10">
        <v>43</v>
      </c>
      <c r="R21" s="13">
        <v>4.8899755501222497</v>
      </c>
      <c r="S21">
        <f t="shared" si="7"/>
        <v>120</v>
      </c>
      <c r="T21">
        <f t="shared" si="8"/>
        <v>200</v>
      </c>
      <c r="U21">
        <f t="shared" si="9"/>
        <v>10000</v>
      </c>
      <c r="V21">
        <f t="shared" ca="1" si="10"/>
        <v>2045</v>
      </c>
      <c r="W21">
        <f t="shared" ca="1" si="11"/>
        <v>50</v>
      </c>
      <c r="X21">
        <f t="shared" ca="1" si="12"/>
        <v>174000</v>
      </c>
      <c r="Y21">
        <f t="shared" ca="1" si="13"/>
        <v>3750</v>
      </c>
      <c r="Z21" s="4">
        <f t="shared" ca="1" si="13"/>
        <v>90000</v>
      </c>
      <c r="AA21" s="4">
        <f t="shared" ca="1" si="18"/>
        <v>1650</v>
      </c>
      <c r="AD21" s="4" t="str">
        <f t="shared" ca="1" si="14"/>
        <v>[9,1,4,240,20,6000],</v>
      </c>
      <c r="AG21" s="4" t="str">
        <f t="shared" ca="1" si="15"/>
        <v>[2,15],</v>
      </c>
    </row>
    <row r="22" spans="1:33" ht="14.25" customHeight="1" x14ac:dyDescent="0.25">
      <c r="A22" s="4">
        <v>2</v>
      </c>
      <c r="B22" s="3">
        <v>16</v>
      </c>
      <c r="C22" s="4">
        <v>11</v>
      </c>
      <c r="D22" s="4">
        <v>2</v>
      </c>
      <c r="E22" s="4">
        <v>3</v>
      </c>
      <c r="F22" s="2">
        <v>220</v>
      </c>
      <c r="G22" s="4">
        <v>20</v>
      </c>
      <c r="H22" s="4">
        <v>6000</v>
      </c>
      <c r="I22" s="4">
        <f t="shared" ca="1" si="16"/>
        <v>1940</v>
      </c>
      <c r="J22" s="4">
        <f t="shared" ca="1" si="3"/>
        <v>300</v>
      </c>
      <c r="K22" s="5">
        <f t="shared" ca="1" si="4"/>
        <v>3.0927835051546393</v>
      </c>
      <c r="L22" s="4">
        <f t="shared" ca="1" si="5"/>
        <v>67000</v>
      </c>
      <c r="M22" s="4">
        <f t="shared" ca="1" si="6"/>
        <v>150</v>
      </c>
      <c r="N22" s="4">
        <f t="shared" ca="1" si="6"/>
        <v>52000</v>
      </c>
      <c r="O22" s="4">
        <f t="shared" ca="1" si="17"/>
        <v>150</v>
      </c>
      <c r="Q22" s="10">
        <v>33</v>
      </c>
      <c r="R22" s="13">
        <v>4.8076923076923075</v>
      </c>
      <c r="S22">
        <f t="shared" si="7"/>
        <v>170</v>
      </c>
      <c r="T22">
        <f t="shared" si="8"/>
        <v>125</v>
      </c>
      <c r="U22">
        <f t="shared" si="9"/>
        <v>10000</v>
      </c>
      <c r="V22">
        <f t="shared" ca="1" si="10"/>
        <v>2080</v>
      </c>
      <c r="W22">
        <f t="shared" ca="1" si="11"/>
        <v>80</v>
      </c>
      <c r="X22">
        <f t="shared" ca="1" si="12"/>
        <v>184000</v>
      </c>
      <c r="Y22">
        <f t="shared" ca="1" si="13"/>
        <v>3875</v>
      </c>
      <c r="Z22" s="4">
        <f t="shared" ca="1" si="13"/>
        <v>100000</v>
      </c>
      <c r="AA22" s="4">
        <f t="shared" ca="1" si="18"/>
        <v>1775</v>
      </c>
      <c r="AD22" s="4" t="str">
        <f t="shared" ca="1" si="14"/>
        <v>[11,2,3,220,20,6000],</v>
      </c>
      <c r="AG22" s="4" t="str">
        <f t="shared" ca="1" si="15"/>
        <v>[2,16],</v>
      </c>
    </row>
    <row r="23" spans="1:33" ht="14.25" customHeight="1" x14ac:dyDescent="0.25">
      <c r="A23" s="4">
        <v>2</v>
      </c>
      <c r="B23" s="3">
        <v>17</v>
      </c>
      <c r="C23" s="4">
        <v>10</v>
      </c>
      <c r="D23" s="4">
        <v>4</v>
      </c>
      <c r="E23" s="4">
        <v>2</v>
      </c>
      <c r="F23" s="2">
        <v>210</v>
      </c>
      <c r="G23" s="4">
        <v>20</v>
      </c>
      <c r="H23" s="4">
        <v>6000</v>
      </c>
      <c r="I23" s="4">
        <f t="shared" ca="1" si="16"/>
        <v>1860</v>
      </c>
      <c r="J23" s="4">
        <f t="shared" ca="1" si="3"/>
        <v>300</v>
      </c>
      <c r="K23" s="5">
        <f t="shared" ca="1" si="4"/>
        <v>3.225806451612903</v>
      </c>
      <c r="L23" s="4">
        <f t="shared" ca="1" si="5"/>
        <v>73000</v>
      </c>
      <c r="M23" s="4">
        <f t="shared" ca="1" si="6"/>
        <v>170</v>
      </c>
      <c r="N23" s="4">
        <f t="shared" ca="1" si="6"/>
        <v>58000</v>
      </c>
      <c r="O23" s="4">
        <f t="shared" ca="1" si="17"/>
        <v>170</v>
      </c>
      <c r="Q23" s="10">
        <v>32</v>
      </c>
      <c r="R23" s="13">
        <v>4.7058823529411766</v>
      </c>
      <c r="S23">
        <f t="shared" si="7"/>
        <v>180</v>
      </c>
      <c r="T23">
        <f t="shared" si="8"/>
        <v>125</v>
      </c>
      <c r="U23">
        <f t="shared" si="9"/>
        <v>10000</v>
      </c>
      <c r="V23">
        <f t="shared" ca="1" si="10"/>
        <v>2125</v>
      </c>
      <c r="W23">
        <f t="shared" ca="1" si="11"/>
        <v>80</v>
      </c>
      <c r="X23">
        <f t="shared" ca="1" si="12"/>
        <v>194000</v>
      </c>
      <c r="Y23">
        <f t="shared" ca="1" si="13"/>
        <v>4000</v>
      </c>
      <c r="Z23" s="4">
        <f t="shared" ca="1" si="13"/>
        <v>110000</v>
      </c>
      <c r="AA23" s="4">
        <f t="shared" ca="1" si="18"/>
        <v>1900</v>
      </c>
      <c r="AD23" s="4" t="str">
        <f t="shared" ca="1" si="14"/>
        <v>[10,4,2,210,20,6000],</v>
      </c>
      <c r="AG23" s="4" t="str">
        <f t="shared" ca="1" si="15"/>
        <v>[2,17],</v>
      </c>
    </row>
    <row r="24" spans="1:33" ht="14.25" customHeight="1" x14ac:dyDescent="0.25">
      <c r="A24" s="4">
        <v>2</v>
      </c>
      <c r="B24" s="3">
        <v>18</v>
      </c>
      <c r="C24" s="4">
        <v>7</v>
      </c>
      <c r="D24" s="4">
        <v>6</v>
      </c>
      <c r="E24" s="4">
        <v>8</v>
      </c>
      <c r="F24" s="2">
        <v>240</v>
      </c>
      <c r="G24" s="4">
        <v>20</v>
      </c>
      <c r="H24" s="4">
        <v>6000</v>
      </c>
      <c r="I24" s="4">
        <f t="shared" ca="1" si="16"/>
        <v>2125</v>
      </c>
      <c r="J24" s="4">
        <f t="shared" ca="1" si="3"/>
        <v>300</v>
      </c>
      <c r="K24" s="5">
        <f t="shared" ca="1" si="4"/>
        <v>2.8235294117647061</v>
      </c>
      <c r="L24" s="4">
        <f t="shared" ca="1" si="5"/>
        <v>79000</v>
      </c>
      <c r="M24" s="4">
        <f t="shared" ca="1" si="6"/>
        <v>190</v>
      </c>
      <c r="N24" s="4">
        <f t="shared" ca="1" si="6"/>
        <v>64000</v>
      </c>
      <c r="O24" s="4">
        <f t="shared" ca="1" si="17"/>
        <v>190</v>
      </c>
      <c r="Q24" s="10">
        <v>36</v>
      </c>
      <c r="R24" s="13">
        <v>4.6082949308755756</v>
      </c>
      <c r="S24">
        <f t="shared" si="7"/>
        <v>180</v>
      </c>
      <c r="T24">
        <f t="shared" si="8"/>
        <v>125</v>
      </c>
      <c r="U24">
        <f t="shared" si="9"/>
        <v>10000</v>
      </c>
      <c r="V24">
        <f t="shared" ca="1" si="10"/>
        <v>2170</v>
      </c>
      <c r="W24">
        <f t="shared" ca="1" si="11"/>
        <v>80</v>
      </c>
      <c r="X24">
        <f t="shared" ca="1" si="12"/>
        <v>204000</v>
      </c>
      <c r="Y24">
        <f t="shared" ca="1" si="13"/>
        <v>4125</v>
      </c>
      <c r="Z24" s="4">
        <f t="shared" ca="1" si="13"/>
        <v>120000</v>
      </c>
      <c r="AA24" s="4">
        <f t="shared" ca="1" si="18"/>
        <v>2025</v>
      </c>
      <c r="AD24" s="4" t="str">
        <f t="shared" ca="1" si="14"/>
        <v>[7,6,8,240,20,6000],</v>
      </c>
      <c r="AG24" s="4" t="str">
        <f t="shared" ca="1" si="15"/>
        <v>[2,18],</v>
      </c>
    </row>
    <row r="25" spans="1:33" ht="14.25" customHeight="1" x14ac:dyDescent="0.25">
      <c r="A25" s="4">
        <v>2</v>
      </c>
      <c r="B25" s="3">
        <v>19</v>
      </c>
      <c r="C25" s="4">
        <v>6</v>
      </c>
      <c r="D25" s="4">
        <v>8</v>
      </c>
      <c r="E25" s="4">
        <v>1</v>
      </c>
      <c r="F25" s="2">
        <v>200</v>
      </c>
      <c r="G25" s="4">
        <v>30</v>
      </c>
      <c r="H25" s="4">
        <v>6000</v>
      </c>
      <c r="I25" s="4">
        <f t="shared" ca="1" si="16"/>
        <v>1825</v>
      </c>
      <c r="J25" s="4">
        <f t="shared" ca="1" si="3"/>
        <v>200</v>
      </c>
      <c r="K25" s="5">
        <f t="shared" ca="1" si="4"/>
        <v>3.2876712328767121</v>
      </c>
      <c r="L25" s="4">
        <f t="shared" ca="1" si="5"/>
        <v>85000</v>
      </c>
      <c r="M25" s="4">
        <f t="shared" ca="1" si="6"/>
        <v>220</v>
      </c>
      <c r="N25" s="4">
        <f t="shared" ca="1" si="6"/>
        <v>70000</v>
      </c>
      <c r="O25" s="4">
        <f t="shared" ca="1" si="17"/>
        <v>220</v>
      </c>
      <c r="Q25" s="10">
        <v>35</v>
      </c>
      <c r="R25" s="13">
        <v>4.5454545454545459</v>
      </c>
      <c r="S25">
        <f t="shared" si="7"/>
        <v>190</v>
      </c>
      <c r="T25">
        <f t="shared" si="8"/>
        <v>125</v>
      </c>
      <c r="U25">
        <f t="shared" si="9"/>
        <v>10000</v>
      </c>
      <c r="V25">
        <f t="shared" ca="1" si="10"/>
        <v>2200</v>
      </c>
      <c r="W25">
        <f t="shared" ca="1" si="11"/>
        <v>80</v>
      </c>
      <c r="X25">
        <f t="shared" ca="1" si="12"/>
        <v>214000</v>
      </c>
      <c r="Y25">
        <f t="shared" ca="1" si="13"/>
        <v>4250</v>
      </c>
      <c r="Z25" s="4">
        <f t="shared" ca="1" si="13"/>
        <v>130000</v>
      </c>
      <c r="AA25" s="4">
        <f t="shared" ca="1" si="18"/>
        <v>2150</v>
      </c>
      <c r="AD25" s="4" t="str">
        <f t="shared" ca="1" si="14"/>
        <v>[6,8,1,200,30,6000],</v>
      </c>
      <c r="AG25" s="4" t="str">
        <f t="shared" ca="1" si="15"/>
        <v>[2,19],</v>
      </c>
    </row>
    <row r="26" spans="1:33" ht="14.25" customHeight="1" x14ac:dyDescent="0.25">
      <c r="A26" s="4">
        <v>2</v>
      </c>
      <c r="B26" s="3">
        <v>20</v>
      </c>
      <c r="C26" s="4">
        <v>9</v>
      </c>
      <c r="D26" s="4">
        <v>1</v>
      </c>
      <c r="E26" s="4">
        <v>2</v>
      </c>
      <c r="F26" s="2">
        <v>210</v>
      </c>
      <c r="G26" s="4">
        <v>30</v>
      </c>
      <c r="H26" s="4">
        <v>6000</v>
      </c>
      <c r="I26" s="4">
        <f t="shared" ca="1" si="16"/>
        <v>1890</v>
      </c>
      <c r="J26" s="4">
        <f t="shared" ca="1" si="3"/>
        <v>200</v>
      </c>
      <c r="K26" s="5">
        <f t="shared" ca="1" si="4"/>
        <v>3.1746031746031744</v>
      </c>
      <c r="L26" s="4">
        <f t="shared" ca="1" si="5"/>
        <v>91000</v>
      </c>
      <c r="M26" s="4">
        <f t="shared" ca="1" si="6"/>
        <v>250</v>
      </c>
      <c r="N26" s="4">
        <f t="shared" ca="1" si="6"/>
        <v>76000</v>
      </c>
      <c r="O26" s="4">
        <f t="shared" ca="1" si="17"/>
        <v>250</v>
      </c>
      <c r="Q26" s="10">
        <v>26</v>
      </c>
      <c r="R26" s="13">
        <v>4.4642857142857144</v>
      </c>
      <c r="S26">
        <f t="shared" si="7"/>
        <v>210</v>
      </c>
      <c r="T26">
        <f t="shared" si="8"/>
        <v>100</v>
      </c>
      <c r="U26">
        <f t="shared" si="9"/>
        <v>10000</v>
      </c>
      <c r="V26">
        <f t="shared" ca="1" si="10"/>
        <v>2240</v>
      </c>
      <c r="W26">
        <f t="shared" ca="1" si="11"/>
        <v>100</v>
      </c>
      <c r="X26">
        <f t="shared" ca="1" si="12"/>
        <v>224000</v>
      </c>
      <c r="Y26">
        <f t="shared" ca="1" si="13"/>
        <v>4350</v>
      </c>
      <c r="Z26" s="4">
        <f t="shared" ca="1" si="13"/>
        <v>140000</v>
      </c>
      <c r="AA26" s="4">
        <f t="shared" ca="1" si="18"/>
        <v>2250</v>
      </c>
      <c r="AD26" s="4" t="str">
        <f t="shared" ca="1" si="14"/>
        <v>[9,1,2,210,30,6000],</v>
      </c>
      <c r="AG26" s="4" t="str">
        <f t="shared" ca="1" si="15"/>
        <v>[2,20],</v>
      </c>
    </row>
    <row r="27" spans="1:33" ht="14.25" customHeight="1" x14ac:dyDescent="0.25">
      <c r="A27" s="4">
        <v>2</v>
      </c>
      <c r="B27" s="3">
        <v>21</v>
      </c>
      <c r="C27" s="4">
        <v>10</v>
      </c>
      <c r="D27" s="4">
        <v>2</v>
      </c>
      <c r="E27" s="4">
        <v>4</v>
      </c>
      <c r="F27" s="2">
        <v>200</v>
      </c>
      <c r="G27" s="4">
        <v>30</v>
      </c>
      <c r="H27" s="4">
        <v>6000</v>
      </c>
      <c r="I27" s="4">
        <f t="shared" ca="1" si="16"/>
        <v>1830</v>
      </c>
      <c r="J27" s="4">
        <f t="shared" ca="1" si="3"/>
        <v>200</v>
      </c>
      <c r="K27" s="5">
        <f t="shared" ca="1" si="4"/>
        <v>3.278688524590164</v>
      </c>
      <c r="L27" s="4">
        <f t="shared" ca="1" si="5"/>
        <v>97000</v>
      </c>
      <c r="M27" s="4">
        <f t="shared" ca="1" si="6"/>
        <v>280</v>
      </c>
      <c r="N27" s="4">
        <f t="shared" ca="1" si="6"/>
        <v>82000</v>
      </c>
      <c r="O27" s="4">
        <f t="shared" ca="1" si="17"/>
        <v>280</v>
      </c>
      <c r="Q27" s="10">
        <v>30</v>
      </c>
      <c r="R27" s="13">
        <v>4.395604395604396</v>
      </c>
      <c r="S27">
        <f t="shared" si="7"/>
        <v>210</v>
      </c>
      <c r="T27">
        <f t="shared" si="8"/>
        <v>100</v>
      </c>
      <c r="U27">
        <f t="shared" si="9"/>
        <v>10000</v>
      </c>
      <c r="V27">
        <f t="shared" ca="1" si="10"/>
        <v>2275</v>
      </c>
      <c r="W27">
        <f t="shared" ca="1" si="11"/>
        <v>100</v>
      </c>
      <c r="X27">
        <f t="shared" ca="1" si="12"/>
        <v>234000</v>
      </c>
      <c r="Y27">
        <f t="shared" ca="1" si="13"/>
        <v>4450</v>
      </c>
      <c r="Z27" s="4">
        <f t="shared" ca="1" si="13"/>
        <v>150000</v>
      </c>
      <c r="AA27" s="4">
        <f t="shared" ca="1" si="18"/>
        <v>2350</v>
      </c>
      <c r="AD27" s="4" t="str">
        <f t="shared" ca="1" si="14"/>
        <v>[10,2,4,200,30,6000],</v>
      </c>
      <c r="AG27" s="4" t="str">
        <f t="shared" ca="1" si="15"/>
        <v>[2,21],</v>
      </c>
    </row>
    <row r="28" spans="1:33" ht="14.25" customHeight="1" x14ac:dyDescent="0.25">
      <c r="A28" s="4">
        <v>2</v>
      </c>
      <c r="B28" s="3">
        <v>22</v>
      </c>
      <c r="C28" s="4">
        <v>8</v>
      </c>
      <c r="D28" s="4">
        <v>4</v>
      </c>
      <c r="E28" s="4">
        <v>3</v>
      </c>
      <c r="F28" s="2">
        <v>190</v>
      </c>
      <c r="G28" s="4">
        <v>30</v>
      </c>
      <c r="H28" s="4">
        <v>6000</v>
      </c>
      <c r="I28" s="4">
        <f t="shared" ca="1" si="16"/>
        <v>1745</v>
      </c>
      <c r="J28" s="4">
        <f t="shared" ca="1" si="3"/>
        <v>200</v>
      </c>
      <c r="K28" s="5">
        <f t="shared" ca="1" si="4"/>
        <v>3.4383954154727792</v>
      </c>
      <c r="L28" s="4">
        <f t="shared" ca="1" si="5"/>
        <v>103000</v>
      </c>
      <c r="M28" s="4">
        <f t="shared" ca="1" si="6"/>
        <v>310</v>
      </c>
      <c r="N28" s="4">
        <f t="shared" ca="1" si="6"/>
        <v>88000</v>
      </c>
      <c r="O28" s="4">
        <f t="shared" ca="1" si="17"/>
        <v>310</v>
      </c>
      <c r="Q28" s="10">
        <v>27</v>
      </c>
      <c r="R28" s="13">
        <v>4.301075268817204</v>
      </c>
      <c r="S28">
        <f t="shared" si="7"/>
        <v>220</v>
      </c>
      <c r="T28">
        <f t="shared" si="8"/>
        <v>100</v>
      </c>
      <c r="U28">
        <f t="shared" si="9"/>
        <v>10000</v>
      </c>
      <c r="V28">
        <f t="shared" ca="1" si="10"/>
        <v>2325</v>
      </c>
      <c r="W28">
        <f t="shared" ca="1" si="11"/>
        <v>100</v>
      </c>
      <c r="X28">
        <f t="shared" ca="1" si="12"/>
        <v>244000</v>
      </c>
      <c r="Y28">
        <f t="shared" ca="1" si="13"/>
        <v>4550</v>
      </c>
      <c r="Z28" s="4">
        <f t="shared" ca="1" si="13"/>
        <v>160000</v>
      </c>
      <c r="AA28" s="4">
        <f t="shared" ca="1" si="18"/>
        <v>2450</v>
      </c>
      <c r="AD28" s="4" t="str">
        <f t="shared" ca="1" si="14"/>
        <v>[8,4,3,190,30,6000],</v>
      </c>
      <c r="AG28" s="4" t="str">
        <f t="shared" ca="1" si="15"/>
        <v>[2,22],</v>
      </c>
    </row>
    <row r="29" spans="1:33" ht="14.25" customHeight="1" x14ac:dyDescent="0.25">
      <c r="A29" s="4">
        <v>2</v>
      </c>
      <c r="B29" s="3">
        <v>23</v>
      </c>
      <c r="C29" s="4">
        <v>11</v>
      </c>
      <c r="D29" s="4">
        <v>6</v>
      </c>
      <c r="E29" s="4">
        <v>2</v>
      </c>
      <c r="F29" s="2">
        <v>200</v>
      </c>
      <c r="G29" s="4">
        <v>30</v>
      </c>
      <c r="H29" s="4">
        <v>6000</v>
      </c>
      <c r="I29" s="4">
        <f t="shared" ca="1" si="16"/>
        <v>1845</v>
      </c>
      <c r="J29" s="4">
        <f t="shared" ca="1" si="3"/>
        <v>200</v>
      </c>
      <c r="K29" s="5">
        <f t="shared" ca="1" si="4"/>
        <v>3.2520325203252032</v>
      </c>
      <c r="L29" s="4">
        <f t="shared" ca="1" si="5"/>
        <v>109000</v>
      </c>
      <c r="M29" s="4">
        <f t="shared" ca="1" si="6"/>
        <v>340</v>
      </c>
      <c r="N29" s="4">
        <f t="shared" ca="1" si="6"/>
        <v>94000</v>
      </c>
      <c r="O29" s="4">
        <f t="shared" ca="1" si="17"/>
        <v>340</v>
      </c>
      <c r="Q29" s="10">
        <v>29</v>
      </c>
      <c r="R29" s="13">
        <v>4.2283298097251585</v>
      </c>
      <c r="S29">
        <f t="shared" si="7"/>
        <v>220</v>
      </c>
      <c r="T29">
        <f t="shared" si="8"/>
        <v>100</v>
      </c>
      <c r="U29">
        <f t="shared" si="9"/>
        <v>10000</v>
      </c>
      <c r="V29">
        <f t="shared" ca="1" si="10"/>
        <v>2365</v>
      </c>
      <c r="W29">
        <f t="shared" ca="1" si="11"/>
        <v>100</v>
      </c>
      <c r="X29">
        <f t="shared" ca="1" si="12"/>
        <v>254000</v>
      </c>
      <c r="Y29">
        <f t="shared" ca="1" si="13"/>
        <v>4650</v>
      </c>
      <c r="Z29" s="4">
        <f t="shared" ca="1" si="13"/>
        <v>170000</v>
      </c>
      <c r="AA29" s="4">
        <f t="shared" ca="1" si="18"/>
        <v>2550</v>
      </c>
      <c r="AD29" s="4" t="str">
        <f t="shared" ca="1" si="14"/>
        <v>[11,6,2,200,30,6000],</v>
      </c>
      <c r="AG29" s="4" t="str">
        <f t="shared" ca="1" si="15"/>
        <v>[2,23],</v>
      </c>
    </row>
    <row r="30" spans="1:33" ht="14.25" customHeight="1" x14ac:dyDescent="0.25">
      <c r="A30" s="4">
        <v>2</v>
      </c>
      <c r="B30" s="3">
        <v>24</v>
      </c>
      <c r="C30" s="4">
        <v>6</v>
      </c>
      <c r="D30" s="4">
        <v>8</v>
      </c>
      <c r="E30" s="4">
        <v>8</v>
      </c>
      <c r="F30" s="2">
        <v>210</v>
      </c>
      <c r="G30" s="4">
        <v>30</v>
      </c>
      <c r="H30" s="4">
        <v>6000</v>
      </c>
      <c r="I30" s="4">
        <f t="shared" ca="1" si="16"/>
        <v>1940</v>
      </c>
      <c r="J30" s="4">
        <f t="shared" ca="1" si="3"/>
        <v>200</v>
      </c>
      <c r="K30" s="5">
        <f t="shared" ca="1" si="4"/>
        <v>3.0927835051546393</v>
      </c>
      <c r="L30" s="4">
        <f t="shared" ca="1" si="5"/>
        <v>115000</v>
      </c>
      <c r="M30" s="4">
        <f t="shared" ca="1" si="6"/>
        <v>370</v>
      </c>
      <c r="N30" s="4">
        <f t="shared" ca="1" si="6"/>
        <v>100000</v>
      </c>
      <c r="O30" s="4">
        <f t="shared" ca="1" si="17"/>
        <v>370</v>
      </c>
      <c r="Q30" s="10">
        <v>31</v>
      </c>
      <c r="R30" s="13">
        <v>4.1841004184100417</v>
      </c>
      <c r="S30">
        <f t="shared" si="7"/>
        <v>230</v>
      </c>
      <c r="T30">
        <f t="shared" si="8"/>
        <v>100</v>
      </c>
      <c r="U30">
        <f t="shared" si="9"/>
        <v>10000</v>
      </c>
      <c r="V30">
        <f t="shared" ca="1" si="10"/>
        <v>2390</v>
      </c>
      <c r="W30">
        <f t="shared" ca="1" si="11"/>
        <v>100</v>
      </c>
      <c r="X30">
        <f t="shared" ca="1" si="12"/>
        <v>264000</v>
      </c>
      <c r="Y30">
        <f t="shared" ca="1" si="13"/>
        <v>4750</v>
      </c>
      <c r="Z30" s="4">
        <f t="shared" ca="1" si="13"/>
        <v>180000</v>
      </c>
      <c r="AA30" s="4">
        <f t="shared" ca="1" si="18"/>
        <v>2650</v>
      </c>
      <c r="AD30" s="4" t="str">
        <f t="shared" ca="1" si="14"/>
        <v>[6,8,8,210,30,6000],</v>
      </c>
      <c r="AG30" s="4" t="str">
        <f t="shared" ca="1" si="15"/>
        <v>[2,24],</v>
      </c>
    </row>
    <row r="31" spans="1:33" ht="14.25" customHeight="1" x14ac:dyDescent="0.25">
      <c r="A31" s="4">
        <v>6</v>
      </c>
      <c r="B31" s="3">
        <v>25</v>
      </c>
      <c r="C31" s="4">
        <v>5</v>
      </c>
      <c r="D31" s="4">
        <v>1</v>
      </c>
      <c r="E31" s="4">
        <v>1</v>
      </c>
      <c r="F31" s="2">
        <v>200</v>
      </c>
      <c r="G31" s="4">
        <v>30</v>
      </c>
      <c r="H31" s="4">
        <v>6000</v>
      </c>
      <c r="I31" s="4">
        <f t="shared" ca="1" si="16"/>
        <v>1785</v>
      </c>
      <c r="J31" s="4">
        <f t="shared" ca="1" si="3"/>
        <v>200</v>
      </c>
      <c r="K31" s="5">
        <f t="shared" ca="1" si="4"/>
        <v>3.3613445378151261</v>
      </c>
      <c r="L31" s="4">
        <f t="shared" ca="1" si="5"/>
        <v>121000</v>
      </c>
      <c r="M31" s="4">
        <f t="shared" ca="1" si="6"/>
        <v>400</v>
      </c>
      <c r="N31" s="4">
        <f t="shared" ca="1" si="6"/>
        <v>106000</v>
      </c>
      <c r="O31" s="4">
        <f t="shared" ca="1" si="17"/>
        <v>400</v>
      </c>
      <c r="Q31" s="10">
        <v>28</v>
      </c>
      <c r="R31" s="13">
        <v>4.1152263374485596</v>
      </c>
      <c r="S31">
        <f t="shared" si="7"/>
        <v>230</v>
      </c>
      <c r="T31">
        <f t="shared" si="8"/>
        <v>100</v>
      </c>
      <c r="U31">
        <f t="shared" si="9"/>
        <v>10000</v>
      </c>
      <c r="V31">
        <f t="shared" ca="1" si="10"/>
        <v>2430</v>
      </c>
      <c r="W31">
        <f t="shared" ca="1" si="11"/>
        <v>100</v>
      </c>
      <c r="X31">
        <f t="shared" ca="1" si="12"/>
        <v>274000</v>
      </c>
      <c r="Y31">
        <f t="shared" ca="1" si="13"/>
        <v>4850</v>
      </c>
      <c r="Z31" s="4">
        <f t="shared" ca="1" si="13"/>
        <v>190000</v>
      </c>
      <c r="AA31" s="4">
        <f t="shared" ca="1" si="18"/>
        <v>2750</v>
      </c>
      <c r="AD31" s="4" t="str">
        <f t="shared" ca="1" si="14"/>
        <v>[5,1,1,200,30,6000],</v>
      </c>
      <c r="AG31" s="4" t="str">
        <f t="shared" ca="1" si="15"/>
        <v>[6,25],</v>
      </c>
    </row>
    <row r="32" spans="1:33" ht="14.25" customHeight="1" x14ac:dyDescent="0.25">
      <c r="A32" s="4">
        <v>3</v>
      </c>
      <c r="B32" s="3">
        <v>26</v>
      </c>
      <c r="C32" s="4">
        <v>8</v>
      </c>
      <c r="D32" s="4">
        <v>2</v>
      </c>
      <c r="E32" s="4">
        <v>2</v>
      </c>
      <c r="F32" s="2">
        <v>210</v>
      </c>
      <c r="G32" s="4">
        <v>100</v>
      </c>
      <c r="H32" s="4">
        <v>10000</v>
      </c>
      <c r="I32" s="4">
        <f t="shared" ca="1" si="16"/>
        <v>2240</v>
      </c>
      <c r="J32" s="4">
        <f t="shared" ca="1" si="3"/>
        <v>100</v>
      </c>
      <c r="K32" s="5">
        <f t="shared" ca="1" si="4"/>
        <v>4.4642857142857144</v>
      </c>
      <c r="L32" s="4">
        <f t="shared" ca="1" si="5"/>
        <v>131000</v>
      </c>
      <c r="M32" s="4">
        <f t="shared" ca="1" si="6"/>
        <v>500</v>
      </c>
      <c r="N32" s="4">
        <f t="shared" ca="1" si="6"/>
        <v>116000</v>
      </c>
      <c r="O32" s="4">
        <f t="shared" ca="1" si="17"/>
        <v>500</v>
      </c>
      <c r="Q32" s="10">
        <v>22</v>
      </c>
      <c r="R32" s="13">
        <v>3.4383954154727792</v>
      </c>
      <c r="S32">
        <f t="shared" si="7"/>
        <v>190</v>
      </c>
      <c r="T32">
        <f t="shared" si="8"/>
        <v>30</v>
      </c>
      <c r="U32">
        <f t="shared" si="9"/>
        <v>6000</v>
      </c>
      <c r="V32">
        <f t="shared" ca="1" si="10"/>
        <v>1745</v>
      </c>
      <c r="W32">
        <f t="shared" ca="1" si="11"/>
        <v>200</v>
      </c>
      <c r="X32">
        <f t="shared" ca="1" si="12"/>
        <v>280000</v>
      </c>
      <c r="Y32">
        <f t="shared" ca="1" si="13"/>
        <v>4880</v>
      </c>
      <c r="Z32" s="4">
        <f t="shared" ca="1" si="13"/>
        <v>196000</v>
      </c>
      <c r="AA32" s="4">
        <f t="shared" ca="1" si="18"/>
        <v>2780</v>
      </c>
      <c r="AD32" s="4" t="str">
        <f t="shared" ca="1" si="14"/>
        <v>[8,2,2,210,100,10000],</v>
      </c>
      <c r="AG32" s="4" t="str">
        <f t="shared" ca="1" si="15"/>
        <v>[3,26],</v>
      </c>
    </row>
    <row r="33" spans="1:33" ht="14.25" customHeight="1" x14ac:dyDescent="0.25">
      <c r="A33" s="4">
        <v>3</v>
      </c>
      <c r="B33" s="3">
        <v>27</v>
      </c>
      <c r="C33" s="4">
        <v>5</v>
      </c>
      <c r="D33" s="4">
        <v>4</v>
      </c>
      <c r="E33" s="4">
        <v>4</v>
      </c>
      <c r="F33" s="2">
        <v>220</v>
      </c>
      <c r="G33" s="4">
        <v>100</v>
      </c>
      <c r="H33" s="4">
        <v>10000</v>
      </c>
      <c r="I33" s="4">
        <f t="shared" ca="1" si="16"/>
        <v>2325</v>
      </c>
      <c r="J33" s="4">
        <f t="shared" ca="1" si="3"/>
        <v>100</v>
      </c>
      <c r="K33" s="5">
        <f t="shared" ca="1" si="4"/>
        <v>4.301075268817204</v>
      </c>
      <c r="L33" s="4">
        <f t="shared" ca="1" si="5"/>
        <v>141000</v>
      </c>
      <c r="M33" s="4">
        <f t="shared" ca="1" si="6"/>
        <v>600</v>
      </c>
      <c r="N33" s="4">
        <f t="shared" ca="1" si="6"/>
        <v>126000</v>
      </c>
      <c r="O33" s="4">
        <f t="shared" ca="1" si="17"/>
        <v>600</v>
      </c>
      <c r="Q33" s="10">
        <v>25</v>
      </c>
      <c r="R33" s="13">
        <v>3.3613445378151261</v>
      </c>
      <c r="S33">
        <f t="shared" si="7"/>
        <v>200</v>
      </c>
      <c r="T33">
        <f t="shared" si="8"/>
        <v>30</v>
      </c>
      <c r="U33">
        <f t="shared" si="9"/>
        <v>6000</v>
      </c>
      <c r="V33">
        <f t="shared" ca="1" si="10"/>
        <v>1785</v>
      </c>
      <c r="W33">
        <f t="shared" ca="1" si="11"/>
        <v>200</v>
      </c>
      <c r="X33">
        <f t="shared" ca="1" si="12"/>
        <v>286000</v>
      </c>
      <c r="Y33">
        <f t="shared" ca="1" si="13"/>
        <v>4910</v>
      </c>
      <c r="Z33" s="4">
        <f t="shared" ca="1" si="13"/>
        <v>202000</v>
      </c>
      <c r="AA33" s="4">
        <f t="shared" ca="1" si="18"/>
        <v>2810</v>
      </c>
      <c r="AD33" s="4" t="str">
        <f t="shared" ca="1" si="14"/>
        <v>[5,4,4,220,100,10000],</v>
      </c>
      <c r="AG33" s="4" t="str">
        <f t="shared" ca="1" si="15"/>
        <v>[3,27],</v>
      </c>
    </row>
    <row r="34" spans="1:33" ht="14.25" customHeight="1" x14ac:dyDescent="0.25">
      <c r="A34" s="4">
        <v>3</v>
      </c>
      <c r="B34" s="3">
        <v>28</v>
      </c>
      <c r="C34" s="4">
        <v>9</v>
      </c>
      <c r="D34" s="4">
        <v>6</v>
      </c>
      <c r="E34" s="4">
        <v>3</v>
      </c>
      <c r="F34" s="2">
        <v>230</v>
      </c>
      <c r="G34" s="4">
        <v>100</v>
      </c>
      <c r="H34" s="4">
        <v>10000</v>
      </c>
      <c r="I34" s="4">
        <f t="shared" ca="1" si="16"/>
        <v>2430</v>
      </c>
      <c r="J34" s="4">
        <f t="shared" ca="1" si="3"/>
        <v>100</v>
      </c>
      <c r="K34" s="5">
        <f t="shared" ca="1" si="4"/>
        <v>4.1152263374485596</v>
      </c>
      <c r="L34" s="4">
        <f t="shared" ca="1" si="5"/>
        <v>151000</v>
      </c>
      <c r="M34" s="4">
        <f t="shared" ca="1" si="6"/>
        <v>700</v>
      </c>
      <c r="N34" s="4">
        <f t="shared" ca="1" si="6"/>
        <v>136000</v>
      </c>
      <c r="O34" s="4">
        <f t="shared" ca="1" si="17"/>
        <v>700</v>
      </c>
      <c r="Q34" s="10">
        <v>19</v>
      </c>
      <c r="R34" s="13">
        <v>3.2876712328767121</v>
      </c>
      <c r="S34">
        <f t="shared" si="7"/>
        <v>200</v>
      </c>
      <c r="T34">
        <f t="shared" si="8"/>
        <v>30</v>
      </c>
      <c r="U34">
        <f t="shared" si="9"/>
        <v>6000</v>
      </c>
      <c r="V34">
        <f t="shared" ca="1" si="10"/>
        <v>1825</v>
      </c>
      <c r="W34">
        <f t="shared" ca="1" si="11"/>
        <v>200</v>
      </c>
      <c r="X34">
        <f t="shared" ca="1" si="12"/>
        <v>292000</v>
      </c>
      <c r="Y34">
        <f t="shared" ca="1" si="13"/>
        <v>4940</v>
      </c>
      <c r="Z34" s="4">
        <f t="shared" ca="1" si="13"/>
        <v>208000</v>
      </c>
      <c r="AA34" s="4">
        <f t="shared" ca="1" si="18"/>
        <v>2840</v>
      </c>
      <c r="AD34" s="4" t="str">
        <f t="shared" ca="1" si="14"/>
        <v>[9,6,3,230,100,10000],</v>
      </c>
      <c r="AG34" s="4" t="str">
        <f t="shared" ca="1" si="15"/>
        <v>[3,28],</v>
      </c>
    </row>
    <row r="35" spans="1:33" ht="14.25" customHeight="1" x14ac:dyDescent="0.25">
      <c r="A35" s="4">
        <v>3</v>
      </c>
      <c r="B35" s="3">
        <v>29</v>
      </c>
      <c r="C35" s="4">
        <v>11</v>
      </c>
      <c r="D35" s="4">
        <v>8</v>
      </c>
      <c r="E35" s="4">
        <v>2</v>
      </c>
      <c r="F35" s="2">
        <v>220</v>
      </c>
      <c r="G35" s="4">
        <v>100</v>
      </c>
      <c r="H35" s="4">
        <v>10000</v>
      </c>
      <c r="I35" s="4">
        <f t="shared" ca="1" si="16"/>
        <v>2365</v>
      </c>
      <c r="J35" s="4">
        <f t="shared" ca="1" si="3"/>
        <v>100</v>
      </c>
      <c r="K35" s="5">
        <f t="shared" ca="1" si="4"/>
        <v>4.2283298097251585</v>
      </c>
      <c r="L35" s="4">
        <f t="shared" ca="1" si="5"/>
        <v>161000</v>
      </c>
      <c r="M35" s="4">
        <f t="shared" ca="1" si="6"/>
        <v>800</v>
      </c>
      <c r="N35" s="4">
        <f t="shared" ca="1" si="6"/>
        <v>146000</v>
      </c>
      <c r="O35" s="4">
        <f t="shared" ca="1" si="17"/>
        <v>800</v>
      </c>
      <c r="Q35" s="10">
        <v>21</v>
      </c>
      <c r="R35" s="13">
        <v>3.278688524590164</v>
      </c>
      <c r="S35">
        <f t="shared" si="7"/>
        <v>200</v>
      </c>
      <c r="T35">
        <f t="shared" si="8"/>
        <v>30</v>
      </c>
      <c r="U35">
        <f t="shared" si="9"/>
        <v>6000</v>
      </c>
      <c r="V35">
        <f t="shared" ca="1" si="10"/>
        <v>1830</v>
      </c>
      <c r="W35">
        <f t="shared" ca="1" si="11"/>
        <v>200</v>
      </c>
      <c r="X35">
        <f t="shared" ca="1" si="12"/>
        <v>298000</v>
      </c>
      <c r="Y35">
        <f t="shared" ca="1" si="13"/>
        <v>4970</v>
      </c>
      <c r="Z35" s="4">
        <f t="shared" ca="1" si="13"/>
        <v>214000</v>
      </c>
      <c r="AA35" s="4">
        <f t="shared" ca="1" si="18"/>
        <v>2870</v>
      </c>
      <c r="AD35" s="4" t="str">
        <f t="shared" ca="1" si="14"/>
        <v>[11,8,2,220,100,10000],</v>
      </c>
      <c r="AG35" s="4" t="str">
        <f t="shared" ca="1" si="15"/>
        <v>[3,29],</v>
      </c>
    </row>
    <row r="36" spans="1:33" ht="14.25" customHeight="1" x14ac:dyDescent="0.25">
      <c r="A36" s="4">
        <v>3</v>
      </c>
      <c r="B36" s="3">
        <v>30</v>
      </c>
      <c r="C36" s="4">
        <v>10</v>
      </c>
      <c r="D36" s="4">
        <v>1</v>
      </c>
      <c r="E36" s="4">
        <v>8</v>
      </c>
      <c r="F36" s="2">
        <v>210</v>
      </c>
      <c r="G36" s="4">
        <v>100</v>
      </c>
      <c r="H36" s="4">
        <v>10000</v>
      </c>
      <c r="I36" s="4">
        <f t="shared" ca="1" si="16"/>
        <v>2275</v>
      </c>
      <c r="J36" s="4">
        <f t="shared" ca="1" si="3"/>
        <v>100</v>
      </c>
      <c r="K36" s="5">
        <f t="shared" ca="1" si="4"/>
        <v>4.395604395604396</v>
      </c>
      <c r="L36" s="4">
        <f t="shared" ca="1" si="5"/>
        <v>171000</v>
      </c>
      <c r="M36" s="4">
        <f t="shared" ca="1" si="6"/>
        <v>900</v>
      </c>
      <c r="N36" s="4">
        <f t="shared" ca="1" si="6"/>
        <v>156000</v>
      </c>
      <c r="O36" s="4">
        <f t="shared" ca="1" si="17"/>
        <v>900</v>
      </c>
      <c r="Q36" s="10">
        <v>23</v>
      </c>
      <c r="R36" s="13">
        <v>3.2520325203252032</v>
      </c>
      <c r="S36">
        <f t="shared" si="7"/>
        <v>200</v>
      </c>
      <c r="T36">
        <f t="shared" si="8"/>
        <v>30</v>
      </c>
      <c r="U36">
        <f t="shared" si="9"/>
        <v>6000</v>
      </c>
      <c r="V36">
        <f t="shared" ca="1" si="10"/>
        <v>1845</v>
      </c>
      <c r="W36">
        <f t="shared" ca="1" si="11"/>
        <v>200</v>
      </c>
      <c r="X36">
        <f t="shared" ca="1" si="12"/>
        <v>304000</v>
      </c>
      <c r="Y36">
        <f t="shared" ca="1" si="13"/>
        <v>5000</v>
      </c>
      <c r="Z36" s="4">
        <f t="shared" ca="1" si="13"/>
        <v>220000</v>
      </c>
      <c r="AA36" s="4">
        <f t="shared" ca="1" si="18"/>
        <v>2900</v>
      </c>
      <c r="AD36" s="4" t="str">
        <f t="shared" ca="1" si="14"/>
        <v>[10,1,8,210,100,10000],</v>
      </c>
      <c r="AG36" s="4" t="str">
        <f t="shared" ca="1" si="15"/>
        <v>[3,30],</v>
      </c>
    </row>
    <row r="37" spans="1:33" ht="14.25" customHeight="1" x14ac:dyDescent="0.25">
      <c r="A37" s="4">
        <v>3</v>
      </c>
      <c r="B37" s="3">
        <v>31</v>
      </c>
      <c r="C37" s="4">
        <v>7</v>
      </c>
      <c r="D37" s="4">
        <v>2</v>
      </c>
      <c r="E37" s="4">
        <v>1</v>
      </c>
      <c r="F37" s="2">
        <v>230</v>
      </c>
      <c r="G37" s="4">
        <v>100</v>
      </c>
      <c r="H37" s="4">
        <v>10000</v>
      </c>
      <c r="I37" s="4">
        <f t="shared" ca="1" si="16"/>
        <v>2390</v>
      </c>
      <c r="J37" s="4">
        <f t="shared" ca="1" si="3"/>
        <v>100</v>
      </c>
      <c r="K37" s="5">
        <f t="shared" ca="1" si="4"/>
        <v>4.1841004184100417</v>
      </c>
      <c r="L37" s="4">
        <f t="shared" ca="1" si="5"/>
        <v>181000</v>
      </c>
      <c r="M37" s="4">
        <f t="shared" ca="1" si="6"/>
        <v>1000</v>
      </c>
      <c r="N37" s="4">
        <f t="shared" ca="1" si="6"/>
        <v>166000</v>
      </c>
      <c r="O37" s="4">
        <f t="shared" ca="1" si="17"/>
        <v>1000</v>
      </c>
      <c r="Q37" s="10">
        <v>17</v>
      </c>
      <c r="R37" s="13">
        <v>3.225806451612903</v>
      </c>
      <c r="S37">
        <f t="shared" si="7"/>
        <v>210</v>
      </c>
      <c r="T37">
        <f t="shared" si="8"/>
        <v>20</v>
      </c>
      <c r="U37">
        <f t="shared" si="9"/>
        <v>6000</v>
      </c>
      <c r="V37">
        <f t="shared" ca="1" si="10"/>
        <v>1860</v>
      </c>
      <c r="W37">
        <f t="shared" ca="1" si="11"/>
        <v>300</v>
      </c>
      <c r="X37">
        <f t="shared" ca="1" si="12"/>
        <v>310000</v>
      </c>
      <c r="Y37">
        <f t="shared" ca="1" si="13"/>
        <v>5020</v>
      </c>
      <c r="Z37" s="4">
        <f t="shared" ca="1" si="13"/>
        <v>226000</v>
      </c>
      <c r="AA37" s="4">
        <f t="shared" ca="1" si="18"/>
        <v>2920</v>
      </c>
      <c r="AD37" s="4" t="str">
        <f t="shared" ca="1" si="14"/>
        <v>[7,2,1,230,100,10000],</v>
      </c>
      <c r="AG37" s="4" t="str">
        <f t="shared" ca="1" si="15"/>
        <v>[3,31],</v>
      </c>
    </row>
    <row r="38" spans="1:33" ht="14.25" customHeight="1" x14ac:dyDescent="0.25">
      <c r="A38" s="4">
        <v>4</v>
      </c>
      <c r="B38" s="3">
        <v>32</v>
      </c>
      <c r="C38" s="4">
        <v>6</v>
      </c>
      <c r="D38" s="4">
        <v>4</v>
      </c>
      <c r="E38" s="4">
        <v>2</v>
      </c>
      <c r="F38" s="2">
        <v>180</v>
      </c>
      <c r="G38" s="4">
        <v>125</v>
      </c>
      <c r="H38" s="4">
        <v>10000</v>
      </c>
      <c r="I38" s="4">
        <f t="shared" ca="1" si="16"/>
        <v>2125</v>
      </c>
      <c r="J38" s="4">
        <f t="shared" ca="1" si="3"/>
        <v>80</v>
      </c>
      <c r="K38" s="5">
        <f t="shared" ca="1" si="4"/>
        <v>4.7058823529411766</v>
      </c>
      <c r="L38" s="4">
        <f t="shared" ca="1" si="5"/>
        <v>191000</v>
      </c>
      <c r="M38" s="4">
        <f t="shared" ca="1" si="6"/>
        <v>1125</v>
      </c>
      <c r="N38" s="4">
        <f t="shared" ca="1" si="6"/>
        <v>176000</v>
      </c>
      <c r="O38" s="4">
        <f t="shared" ca="1" si="17"/>
        <v>1125</v>
      </c>
      <c r="Q38" s="10">
        <v>20</v>
      </c>
      <c r="R38" s="13">
        <v>3.1746031746031744</v>
      </c>
      <c r="S38">
        <f t="shared" si="7"/>
        <v>210</v>
      </c>
      <c r="T38">
        <f t="shared" si="8"/>
        <v>30</v>
      </c>
      <c r="U38">
        <f t="shared" si="9"/>
        <v>6000</v>
      </c>
      <c r="V38">
        <f t="shared" ca="1" si="10"/>
        <v>1890</v>
      </c>
      <c r="W38">
        <f t="shared" ca="1" si="11"/>
        <v>200</v>
      </c>
      <c r="X38">
        <f t="shared" ca="1" si="12"/>
        <v>316000</v>
      </c>
      <c r="Y38">
        <f t="shared" ca="1" si="13"/>
        <v>5050</v>
      </c>
      <c r="Z38" s="4">
        <f t="shared" ca="1" si="13"/>
        <v>232000</v>
      </c>
      <c r="AA38" s="4">
        <f t="shared" ca="1" si="18"/>
        <v>2950</v>
      </c>
      <c r="AD38" s="4" t="str">
        <f t="shared" ca="1" si="14"/>
        <v>[6,4,2,180,125,10000],</v>
      </c>
      <c r="AG38" s="4" t="str">
        <f t="shared" ca="1" si="15"/>
        <v>[4,32],</v>
      </c>
    </row>
    <row r="39" spans="1:33" ht="14.25" customHeight="1" x14ac:dyDescent="0.25">
      <c r="A39" s="4">
        <v>4</v>
      </c>
      <c r="B39" s="3">
        <v>33</v>
      </c>
      <c r="C39" s="4">
        <v>9</v>
      </c>
      <c r="D39" s="4">
        <v>6</v>
      </c>
      <c r="E39" s="4">
        <v>4</v>
      </c>
      <c r="F39" s="2">
        <v>170</v>
      </c>
      <c r="G39" s="4">
        <v>125</v>
      </c>
      <c r="H39" s="4">
        <v>10000</v>
      </c>
      <c r="I39" s="4">
        <f t="shared" ca="1" si="16"/>
        <v>2080</v>
      </c>
      <c r="J39" s="4">
        <f t="shared" ca="1" si="3"/>
        <v>80</v>
      </c>
      <c r="K39" s="5">
        <f t="shared" ca="1" si="4"/>
        <v>4.8076923076923075</v>
      </c>
      <c r="L39" s="4">
        <f t="shared" ca="1" si="5"/>
        <v>201000</v>
      </c>
      <c r="M39" s="4">
        <f t="shared" ca="1" si="6"/>
        <v>1250</v>
      </c>
      <c r="N39" s="4">
        <f t="shared" ca="1" si="6"/>
        <v>186000</v>
      </c>
      <c r="O39" s="4">
        <f t="shared" ca="1" si="17"/>
        <v>1250</v>
      </c>
      <c r="Q39" s="10">
        <v>16</v>
      </c>
      <c r="R39" s="13">
        <v>3.0927835051546393</v>
      </c>
      <c r="S39">
        <f t="shared" si="7"/>
        <v>220</v>
      </c>
      <c r="T39">
        <f t="shared" si="8"/>
        <v>20</v>
      </c>
      <c r="U39">
        <f t="shared" si="9"/>
        <v>6000</v>
      </c>
      <c r="V39">
        <f t="shared" ca="1" si="10"/>
        <v>1940</v>
      </c>
      <c r="W39">
        <f t="shared" ca="1" si="11"/>
        <v>300</v>
      </c>
      <c r="X39">
        <f t="shared" ca="1" si="12"/>
        <v>322000</v>
      </c>
      <c r="Y39">
        <f t="shared" ca="1" si="13"/>
        <v>5070</v>
      </c>
      <c r="Z39" s="4">
        <f t="shared" ca="1" si="13"/>
        <v>238000</v>
      </c>
      <c r="AA39" s="4">
        <f t="shared" ca="1" si="18"/>
        <v>2970</v>
      </c>
      <c r="AD39" s="4" t="str">
        <f t="shared" ca="1" si="14"/>
        <v>[9,6,4,170,125,10000],</v>
      </c>
      <c r="AG39" s="4" t="str">
        <f t="shared" ca="1" si="15"/>
        <v>[4,33],</v>
      </c>
    </row>
    <row r="40" spans="1:33" ht="14.25" customHeight="1" x14ac:dyDescent="0.25">
      <c r="A40" s="4">
        <v>4</v>
      </c>
      <c r="B40" s="3">
        <v>34</v>
      </c>
      <c r="C40" s="4">
        <v>10</v>
      </c>
      <c r="D40" s="4">
        <v>8</v>
      </c>
      <c r="E40" s="4">
        <v>3</v>
      </c>
      <c r="F40" s="2">
        <v>160</v>
      </c>
      <c r="G40" s="4">
        <v>125</v>
      </c>
      <c r="H40" s="4">
        <v>10000</v>
      </c>
      <c r="I40" s="4">
        <f t="shared" ca="1" si="16"/>
        <v>2010</v>
      </c>
      <c r="J40" s="4">
        <f t="shared" ca="1" si="3"/>
        <v>80</v>
      </c>
      <c r="K40" s="5">
        <f t="shared" ca="1" si="4"/>
        <v>4.9751243781094523</v>
      </c>
      <c r="L40" s="4">
        <f t="shared" ca="1" si="5"/>
        <v>211000</v>
      </c>
      <c r="M40" s="4">
        <f t="shared" ca="1" si="6"/>
        <v>1375</v>
      </c>
      <c r="N40" s="4">
        <f t="shared" ca="1" si="6"/>
        <v>196000</v>
      </c>
      <c r="O40" s="4">
        <f t="shared" ca="1" si="17"/>
        <v>1375</v>
      </c>
      <c r="Q40" s="10">
        <v>24</v>
      </c>
      <c r="R40" s="13">
        <v>3.0927835051546393</v>
      </c>
      <c r="S40">
        <f t="shared" si="7"/>
        <v>210</v>
      </c>
      <c r="T40">
        <f t="shared" si="8"/>
        <v>30</v>
      </c>
      <c r="U40">
        <f t="shared" si="9"/>
        <v>6000</v>
      </c>
      <c r="V40">
        <f t="shared" ca="1" si="10"/>
        <v>1940</v>
      </c>
      <c r="W40">
        <f t="shared" ca="1" si="11"/>
        <v>200</v>
      </c>
      <c r="X40">
        <f t="shared" ca="1" si="12"/>
        <v>328000</v>
      </c>
      <c r="Y40">
        <f t="shared" ca="1" si="13"/>
        <v>5100</v>
      </c>
      <c r="Z40" s="4">
        <f t="shared" ca="1" si="13"/>
        <v>244000</v>
      </c>
      <c r="AA40" s="4">
        <f t="shared" ca="1" si="18"/>
        <v>3000</v>
      </c>
      <c r="AD40" s="4" t="str">
        <f t="shared" ca="1" si="14"/>
        <v>[10,8,3,160,125,10000],</v>
      </c>
      <c r="AG40" s="4" t="str">
        <f t="shared" ca="1" si="15"/>
        <v>[4,34],</v>
      </c>
    </row>
    <row r="41" spans="1:33" ht="14.25" customHeight="1" x14ac:dyDescent="0.25">
      <c r="A41" s="4">
        <v>4</v>
      </c>
      <c r="B41" s="3">
        <v>35</v>
      </c>
      <c r="C41" s="4">
        <v>8</v>
      </c>
      <c r="D41" s="4">
        <v>1</v>
      </c>
      <c r="E41" s="4">
        <v>2</v>
      </c>
      <c r="F41" s="2">
        <v>190</v>
      </c>
      <c r="G41" s="4">
        <v>125</v>
      </c>
      <c r="H41" s="4">
        <v>10000</v>
      </c>
      <c r="I41" s="4">
        <f t="shared" ca="1" si="16"/>
        <v>2200</v>
      </c>
      <c r="J41" s="4">
        <f t="shared" ca="1" si="3"/>
        <v>80</v>
      </c>
      <c r="K41" s="5">
        <f t="shared" ca="1" si="4"/>
        <v>4.5454545454545459</v>
      </c>
      <c r="L41" s="4">
        <f t="shared" ca="1" si="5"/>
        <v>221000</v>
      </c>
      <c r="M41" s="4">
        <f t="shared" ca="1" si="6"/>
        <v>1500</v>
      </c>
      <c r="N41" s="4">
        <f t="shared" ca="1" si="6"/>
        <v>206000</v>
      </c>
      <c r="O41" s="4">
        <f t="shared" ca="1" si="17"/>
        <v>1500</v>
      </c>
      <c r="Q41" s="10">
        <v>14</v>
      </c>
      <c r="R41" s="13">
        <v>2.9776674937965262</v>
      </c>
      <c r="S41">
        <f t="shared" si="7"/>
        <v>230</v>
      </c>
      <c r="T41">
        <f t="shared" si="8"/>
        <v>20</v>
      </c>
      <c r="U41">
        <f t="shared" si="9"/>
        <v>6000</v>
      </c>
      <c r="V41">
        <f t="shared" ca="1" si="10"/>
        <v>2015</v>
      </c>
      <c r="W41">
        <f t="shared" ca="1" si="11"/>
        <v>300</v>
      </c>
      <c r="X41">
        <f t="shared" ca="1" si="12"/>
        <v>334000</v>
      </c>
      <c r="Y41">
        <f t="shared" ca="1" si="13"/>
        <v>5120</v>
      </c>
      <c r="Z41" s="4">
        <f t="shared" ca="1" si="13"/>
        <v>250000</v>
      </c>
      <c r="AA41" s="4">
        <f t="shared" ca="1" si="18"/>
        <v>3020</v>
      </c>
      <c r="AD41" s="4" t="str">
        <f t="shared" ca="1" si="14"/>
        <v>[8,1,2,190,125,10000],</v>
      </c>
      <c r="AG41" s="4" t="str">
        <f t="shared" ca="1" si="15"/>
        <v>[4,35],</v>
      </c>
    </row>
    <row r="42" spans="1:33" ht="14.25" customHeight="1" x14ac:dyDescent="0.25">
      <c r="A42" s="4">
        <v>4</v>
      </c>
      <c r="B42" s="3">
        <v>36</v>
      </c>
      <c r="C42" s="4">
        <v>11</v>
      </c>
      <c r="D42" s="4">
        <v>2</v>
      </c>
      <c r="E42" s="4">
        <v>8</v>
      </c>
      <c r="F42" s="2">
        <v>180</v>
      </c>
      <c r="G42" s="4">
        <v>125</v>
      </c>
      <c r="H42" s="4">
        <v>10000</v>
      </c>
      <c r="I42" s="4">
        <f t="shared" ca="1" si="16"/>
        <v>2170</v>
      </c>
      <c r="J42" s="4">
        <f t="shared" ca="1" si="3"/>
        <v>80</v>
      </c>
      <c r="K42" s="5">
        <f t="shared" ca="1" si="4"/>
        <v>4.6082949308755756</v>
      </c>
      <c r="L42" s="4">
        <f t="shared" ca="1" si="5"/>
        <v>231000</v>
      </c>
      <c r="M42" s="4">
        <f t="shared" ca="1" si="6"/>
        <v>1625</v>
      </c>
      <c r="N42" s="4">
        <f t="shared" ca="1" si="6"/>
        <v>216000</v>
      </c>
      <c r="O42" s="4">
        <f t="shared" ca="1" si="17"/>
        <v>1625</v>
      </c>
      <c r="Q42" s="10">
        <v>15</v>
      </c>
      <c r="R42" s="13">
        <v>2.8708133971291865</v>
      </c>
      <c r="S42">
        <f t="shared" si="7"/>
        <v>240</v>
      </c>
      <c r="T42">
        <f t="shared" si="8"/>
        <v>20</v>
      </c>
      <c r="U42">
        <f t="shared" si="9"/>
        <v>6000</v>
      </c>
      <c r="V42">
        <f t="shared" ca="1" si="10"/>
        <v>2090</v>
      </c>
      <c r="W42">
        <f t="shared" ca="1" si="11"/>
        <v>300</v>
      </c>
      <c r="X42">
        <f t="shared" ca="1" si="12"/>
        <v>340000</v>
      </c>
      <c r="Y42">
        <f t="shared" ca="1" si="13"/>
        <v>5140</v>
      </c>
      <c r="Z42" s="4">
        <f t="shared" ca="1" si="13"/>
        <v>256000</v>
      </c>
      <c r="AA42" s="4">
        <f t="shared" ca="1" si="18"/>
        <v>3040</v>
      </c>
      <c r="AD42" s="4" t="str">
        <f t="shared" ca="1" si="14"/>
        <v>[11,2,8,180,125,10000],</v>
      </c>
      <c r="AG42" s="4" t="str">
        <f t="shared" ca="1" si="15"/>
        <v>[4,36],</v>
      </c>
    </row>
    <row r="43" spans="1:33" ht="14.25" customHeight="1" x14ac:dyDescent="0.25">
      <c r="A43" s="4">
        <v>4</v>
      </c>
      <c r="B43" s="3">
        <v>37</v>
      </c>
      <c r="C43" s="4">
        <v>6</v>
      </c>
      <c r="D43" s="4">
        <v>4</v>
      </c>
      <c r="E43" s="4">
        <v>1</v>
      </c>
      <c r="F43" s="2">
        <v>170</v>
      </c>
      <c r="G43" s="4">
        <v>125</v>
      </c>
      <c r="H43" s="4">
        <v>10000</v>
      </c>
      <c r="I43" s="4">
        <f t="shared" ca="1" si="16"/>
        <v>2040</v>
      </c>
      <c r="J43" s="4">
        <f t="shared" ca="1" si="3"/>
        <v>80</v>
      </c>
      <c r="K43" s="5">
        <f t="shared" ca="1" si="4"/>
        <v>4.9019607843137258</v>
      </c>
      <c r="L43" s="4">
        <f t="shared" ca="1" si="5"/>
        <v>241000</v>
      </c>
      <c r="M43" s="4">
        <f t="shared" ca="1" si="6"/>
        <v>1750</v>
      </c>
      <c r="N43" s="4">
        <f t="shared" ca="1" si="6"/>
        <v>226000</v>
      </c>
      <c r="O43" s="4">
        <f t="shared" ca="1" si="17"/>
        <v>1750</v>
      </c>
      <c r="Q43" s="10">
        <v>18</v>
      </c>
      <c r="R43" s="13">
        <v>2.8235294117647061</v>
      </c>
      <c r="S43">
        <f t="shared" si="7"/>
        <v>240</v>
      </c>
      <c r="T43">
        <f t="shared" si="8"/>
        <v>20</v>
      </c>
      <c r="U43">
        <f t="shared" si="9"/>
        <v>6000</v>
      </c>
      <c r="V43">
        <f t="shared" ca="1" si="10"/>
        <v>2125</v>
      </c>
      <c r="W43">
        <f t="shared" ca="1" si="11"/>
        <v>300</v>
      </c>
      <c r="X43">
        <f t="shared" ca="1" si="12"/>
        <v>346000</v>
      </c>
      <c r="Y43">
        <f t="shared" ca="1" si="13"/>
        <v>5160</v>
      </c>
      <c r="Z43" s="4">
        <f t="shared" ca="1" si="13"/>
        <v>262000</v>
      </c>
      <c r="AA43" s="4">
        <f t="shared" ca="1" si="18"/>
        <v>3060</v>
      </c>
      <c r="AD43" s="4" t="str">
        <f t="shared" ca="1" si="14"/>
        <v>[6,4,1,170,125,10000],</v>
      </c>
      <c r="AG43" s="4" t="str">
        <f t="shared" ca="1" si="15"/>
        <v>[4,37],</v>
      </c>
    </row>
    <row r="44" spans="1:33" ht="14.25" customHeight="1" x14ac:dyDescent="0.25">
      <c r="A44" s="4">
        <v>4</v>
      </c>
      <c r="B44" s="3">
        <v>38</v>
      </c>
      <c r="C44" s="4">
        <v>5</v>
      </c>
      <c r="D44" s="4">
        <v>6</v>
      </c>
      <c r="E44" s="4">
        <v>2</v>
      </c>
      <c r="F44" s="2">
        <v>110</v>
      </c>
      <c r="G44" s="4">
        <v>200</v>
      </c>
      <c r="H44" s="4">
        <v>10000</v>
      </c>
      <c r="I44" s="4">
        <f t="shared" ca="1" si="16"/>
        <v>1945</v>
      </c>
      <c r="J44" s="4">
        <f t="shared" ca="1" si="3"/>
        <v>50</v>
      </c>
      <c r="K44" s="5">
        <f t="shared" ca="1" si="4"/>
        <v>5.1413881748071981</v>
      </c>
      <c r="L44" s="4">
        <f t="shared" ca="1" si="5"/>
        <v>251000</v>
      </c>
      <c r="M44" s="4">
        <f t="shared" ca="1" si="6"/>
        <v>1950</v>
      </c>
      <c r="N44" s="4">
        <f t="shared" ca="1" si="6"/>
        <v>236000</v>
      </c>
      <c r="O44" s="4">
        <f t="shared" ca="1" si="17"/>
        <v>1950</v>
      </c>
      <c r="Q44" s="10">
        <v>13</v>
      </c>
      <c r="R44" s="13">
        <v>2.7586206896551726</v>
      </c>
      <c r="S44">
        <f t="shared" si="7"/>
        <v>250</v>
      </c>
      <c r="T44">
        <f t="shared" si="8"/>
        <v>20</v>
      </c>
      <c r="U44">
        <f t="shared" si="9"/>
        <v>6000</v>
      </c>
      <c r="V44">
        <f t="shared" ca="1" si="10"/>
        <v>2175</v>
      </c>
      <c r="W44">
        <f t="shared" ca="1" si="11"/>
        <v>300</v>
      </c>
      <c r="X44">
        <f t="shared" ca="1" si="12"/>
        <v>352000</v>
      </c>
      <c r="Y44">
        <f t="shared" ca="1" si="13"/>
        <v>5180</v>
      </c>
      <c r="Z44" s="4">
        <f t="shared" ca="1" si="13"/>
        <v>268000</v>
      </c>
      <c r="AA44" s="4">
        <f t="shared" ca="1" si="18"/>
        <v>3080</v>
      </c>
      <c r="AD44" s="4" t="str">
        <f t="shared" ca="1" si="14"/>
        <v>[5,6,2,110,200,10000],</v>
      </c>
      <c r="AG44" s="4" t="str">
        <f t="shared" ca="1" si="15"/>
        <v>[4,38],</v>
      </c>
    </row>
    <row r="45" spans="1:33" ht="14.25" customHeight="1" x14ac:dyDescent="0.25">
      <c r="A45" s="4">
        <v>4</v>
      </c>
      <c r="B45" s="3">
        <v>39</v>
      </c>
      <c r="C45" s="4">
        <v>8</v>
      </c>
      <c r="D45" s="4">
        <v>8</v>
      </c>
      <c r="E45" s="4">
        <v>4</v>
      </c>
      <c r="F45" s="2">
        <v>100</v>
      </c>
      <c r="G45" s="4">
        <v>200</v>
      </c>
      <c r="H45" s="4">
        <v>10000</v>
      </c>
      <c r="I45" s="4">
        <f t="shared" ca="1" si="16"/>
        <v>1900</v>
      </c>
      <c r="J45" s="4">
        <f t="shared" ca="1" si="3"/>
        <v>50</v>
      </c>
      <c r="K45" s="5">
        <f t="shared" ca="1" si="4"/>
        <v>5.2631578947368425</v>
      </c>
      <c r="L45" s="4">
        <f t="shared" ca="1" si="5"/>
        <v>261000</v>
      </c>
      <c r="M45" s="4">
        <f t="shared" ca="1" si="6"/>
        <v>2150</v>
      </c>
      <c r="N45" s="4">
        <f t="shared" ca="1" si="6"/>
        <v>246000</v>
      </c>
      <c r="O45" s="4">
        <f t="shared" ca="1" si="17"/>
        <v>2150</v>
      </c>
      <c r="Q45" s="10">
        <v>11</v>
      </c>
      <c r="R45" s="13">
        <v>2.150537634408602</v>
      </c>
      <c r="S45">
        <f t="shared" si="7"/>
        <v>220</v>
      </c>
      <c r="T45">
        <f t="shared" si="8"/>
        <v>10</v>
      </c>
      <c r="U45">
        <f t="shared" si="9"/>
        <v>4000</v>
      </c>
      <c r="V45">
        <f t="shared" ca="1" si="10"/>
        <v>1860</v>
      </c>
      <c r="W45">
        <f t="shared" ca="1" si="11"/>
        <v>400</v>
      </c>
      <c r="X45">
        <f t="shared" ca="1" si="12"/>
        <v>356000</v>
      </c>
      <c r="Y45">
        <f t="shared" ca="1" si="13"/>
        <v>5190</v>
      </c>
      <c r="Z45" s="4">
        <f t="shared" ca="1" si="13"/>
        <v>272000</v>
      </c>
      <c r="AA45" s="4">
        <f t="shared" ca="1" si="18"/>
        <v>3090</v>
      </c>
      <c r="AD45" s="4" t="str">
        <f t="shared" ca="1" si="14"/>
        <v>[8,8,4,100,200,10000],</v>
      </c>
      <c r="AG45" s="4" t="str">
        <f t="shared" ca="1" si="15"/>
        <v>[4,39],</v>
      </c>
    </row>
    <row r="46" spans="1:33" ht="14.25" customHeight="1" x14ac:dyDescent="0.25">
      <c r="A46" s="4">
        <v>4</v>
      </c>
      <c r="B46" s="3">
        <v>40</v>
      </c>
      <c r="C46" s="4">
        <v>5</v>
      </c>
      <c r="D46" s="4">
        <v>1</v>
      </c>
      <c r="E46" s="4">
        <v>3</v>
      </c>
      <c r="F46" s="2">
        <v>120</v>
      </c>
      <c r="G46" s="4">
        <v>200</v>
      </c>
      <c r="H46" s="4">
        <v>10000</v>
      </c>
      <c r="I46" s="4">
        <f t="shared" ca="1" si="16"/>
        <v>2005</v>
      </c>
      <c r="J46" s="4">
        <f t="shared" ca="1" si="3"/>
        <v>50</v>
      </c>
      <c r="K46" s="5">
        <f t="shared" ca="1" si="4"/>
        <v>4.9875311720698257</v>
      </c>
      <c r="L46" s="4">
        <f t="shared" ca="1" si="5"/>
        <v>271000</v>
      </c>
      <c r="M46" s="4">
        <f t="shared" ca="1" si="6"/>
        <v>2350</v>
      </c>
      <c r="N46" s="4">
        <f t="shared" ca="1" si="6"/>
        <v>256000</v>
      </c>
      <c r="O46" s="4">
        <f t="shared" ca="1" si="17"/>
        <v>2350</v>
      </c>
      <c r="Q46" s="10">
        <v>9</v>
      </c>
      <c r="R46" s="13">
        <v>2.0942408376963351</v>
      </c>
      <c r="S46">
        <f t="shared" si="7"/>
        <v>220</v>
      </c>
      <c r="T46">
        <f t="shared" si="8"/>
        <v>10</v>
      </c>
      <c r="U46">
        <f t="shared" si="9"/>
        <v>4000</v>
      </c>
      <c r="V46">
        <f t="shared" ca="1" si="10"/>
        <v>1910</v>
      </c>
      <c r="W46">
        <f t="shared" ca="1" si="11"/>
        <v>400</v>
      </c>
      <c r="X46">
        <f t="shared" ca="1" si="12"/>
        <v>360000</v>
      </c>
      <c r="Y46">
        <f t="shared" ca="1" si="13"/>
        <v>5200</v>
      </c>
      <c r="Z46" s="4">
        <f t="shared" ca="1" si="13"/>
        <v>276000</v>
      </c>
      <c r="AA46" s="4">
        <f t="shared" ca="1" si="18"/>
        <v>3100</v>
      </c>
      <c r="AD46" s="4" t="str">
        <f t="shared" ca="1" si="14"/>
        <v>[5,1,3,120,200,10000],</v>
      </c>
      <c r="AG46" s="4" t="str">
        <f t="shared" ca="1" si="15"/>
        <v>[4,40],</v>
      </c>
    </row>
    <row r="47" spans="1:33" ht="14.25" customHeight="1" x14ac:dyDescent="0.25">
      <c r="A47" s="4">
        <v>4</v>
      </c>
      <c r="B47" s="3">
        <v>41</v>
      </c>
      <c r="C47" s="4">
        <v>9</v>
      </c>
      <c r="D47" s="4">
        <v>2</v>
      </c>
      <c r="E47" s="4">
        <v>2</v>
      </c>
      <c r="F47" s="2">
        <v>110</v>
      </c>
      <c r="G47" s="4">
        <v>200</v>
      </c>
      <c r="H47" s="4">
        <v>10000</v>
      </c>
      <c r="I47" s="4">
        <f t="shared" ca="1" si="16"/>
        <v>1945</v>
      </c>
      <c r="J47" s="4">
        <f t="shared" ca="1" si="3"/>
        <v>50</v>
      </c>
      <c r="K47" s="5">
        <f t="shared" ca="1" si="4"/>
        <v>5.1413881748071981</v>
      </c>
      <c r="L47" s="4">
        <f t="shared" ca="1" si="5"/>
        <v>281000</v>
      </c>
      <c r="M47" s="4">
        <f t="shared" ca="1" si="6"/>
        <v>2550</v>
      </c>
      <c r="N47" s="4">
        <f t="shared" ca="1" si="6"/>
        <v>266000</v>
      </c>
      <c r="O47" s="4">
        <f t="shared" ca="1" si="17"/>
        <v>2550</v>
      </c>
      <c r="Q47" s="10">
        <v>10</v>
      </c>
      <c r="R47" s="13">
        <v>2.0356234096692112</v>
      </c>
      <c r="S47">
        <f t="shared" si="7"/>
        <v>230</v>
      </c>
      <c r="T47">
        <f t="shared" si="8"/>
        <v>10</v>
      </c>
      <c r="U47">
        <f t="shared" si="9"/>
        <v>4000</v>
      </c>
      <c r="V47">
        <f t="shared" ca="1" si="10"/>
        <v>1965</v>
      </c>
      <c r="W47">
        <f t="shared" ca="1" si="11"/>
        <v>400</v>
      </c>
      <c r="X47">
        <f t="shared" ca="1" si="12"/>
        <v>364000</v>
      </c>
      <c r="Y47">
        <f t="shared" ca="1" si="13"/>
        <v>5210</v>
      </c>
      <c r="Z47" s="4">
        <f t="shared" ca="1" si="13"/>
        <v>280000</v>
      </c>
      <c r="AA47" s="4">
        <f t="shared" ca="1" si="18"/>
        <v>3110</v>
      </c>
      <c r="AD47" s="4" t="str">
        <f t="shared" ca="1" si="14"/>
        <v>[9,2,2,110,200,10000],</v>
      </c>
      <c r="AG47" s="4" t="str">
        <f t="shared" ca="1" si="15"/>
        <v>[4,41],</v>
      </c>
    </row>
    <row r="48" spans="1:33" ht="14.25" customHeight="1" x14ac:dyDescent="0.25">
      <c r="A48" s="4">
        <v>4</v>
      </c>
      <c r="B48" s="3">
        <v>42</v>
      </c>
      <c r="C48" s="4">
        <v>11</v>
      </c>
      <c r="D48" s="4">
        <v>4</v>
      </c>
      <c r="E48" s="4">
        <v>8</v>
      </c>
      <c r="F48" s="2">
        <v>100</v>
      </c>
      <c r="G48" s="4">
        <v>200</v>
      </c>
      <c r="H48" s="4">
        <v>10000</v>
      </c>
      <c r="I48" s="4">
        <f t="shared" ca="1" si="16"/>
        <v>1915</v>
      </c>
      <c r="J48" s="4">
        <f t="shared" ca="1" si="3"/>
        <v>50</v>
      </c>
      <c r="K48" s="5">
        <f t="shared" ca="1" si="4"/>
        <v>5.2219321148825069</v>
      </c>
      <c r="L48" s="4">
        <f t="shared" ca="1" si="5"/>
        <v>291000</v>
      </c>
      <c r="M48" s="4">
        <f t="shared" ca="1" si="6"/>
        <v>2750</v>
      </c>
      <c r="N48" s="4">
        <f t="shared" ca="1" si="6"/>
        <v>276000</v>
      </c>
      <c r="O48" s="4">
        <f t="shared" ca="1" si="17"/>
        <v>2750</v>
      </c>
      <c r="Q48" s="10">
        <v>6</v>
      </c>
      <c r="R48" s="13">
        <v>2.030456852791878</v>
      </c>
      <c r="S48">
        <f t="shared" si="7"/>
        <v>230</v>
      </c>
      <c r="T48">
        <f t="shared" si="8"/>
        <v>10</v>
      </c>
      <c r="U48">
        <f t="shared" si="9"/>
        <v>4000</v>
      </c>
      <c r="V48">
        <f t="shared" ca="1" si="10"/>
        <v>1970</v>
      </c>
      <c r="W48">
        <f t="shared" ca="1" si="11"/>
        <v>400</v>
      </c>
      <c r="X48">
        <f t="shared" ca="1" si="12"/>
        <v>368000</v>
      </c>
      <c r="Y48">
        <f t="shared" ca="1" si="13"/>
        <v>5220</v>
      </c>
      <c r="Z48" s="4">
        <f t="shared" ca="1" si="13"/>
        <v>284000</v>
      </c>
      <c r="AA48" s="4">
        <f t="shared" ca="1" si="18"/>
        <v>3120</v>
      </c>
      <c r="AD48" s="4" t="str">
        <f t="shared" ca="1" si="14"/>
        <v>[11,4,8,100,200,10000],</v>
      </c>
      <c r="AG48" s="4" t="str">
        <f t="shared" ca="1" si="15"/>
        <v>[4,42],</v>
      </c>
    </row>
    <row r="49" spans="1:33" ht="14.25" customHeight="1" x14ac:dyDescent="0.25">
      <c r="A49" s="4">
        <v>4</v>
      </c>
      <c r="B49" s="3">
        <v>43</v>
      </c>
      <c r="C49" s="4">
        <v>10</v>
      </c>
      <c r="D49" s="4">
        <v>6</v>
      </c>
      <c r="E49" s="4">
        <v>1</v>
      </c>
      <c r="F49" s="2">
        <v>120</v>
      </c>
      <c r="G49" s="4">
        <v>200</v>
      </c>
      <c r="H49" s="4">
        <v>10000</v>
      </c>
      <c r="I49" s="4">
        <f t="shared" ca="1" si="16"/>
        <v>2045</v>
      </c>
      <c r="J49" s="4">
        <f t="shared" ca="1" si="3"/>
        <v>50</v>
      </c>
      <c r="K49" s="5">
        <f t="shared" ca="1" si="4"/>
        <v>4.8899755501222497</v>
      </c>
      <c r="L49" s="4">
        <f t="shared" ca="1" si="5"/>
        <v>301000</v>
      </c>
      <c r="M49" s="4">
        <f t="shared" ca="1" si="6"/>
        <v>2950</v>
      </c>
      <c r="N49" s="4">
        <f t="shared" ca="1" si="6"/>
        <v>286000</v>
      </c>
      <c r="O49" s="4">
        <f t="shared" ca="1" si="17"/>
        <v>2950</v>
      </c>
      <c r="Q49" s="10">
        <v>7</v>
      </c>
      <c r="R49" s="13">
        <v>1.9607843137254901</v>
      </c>
      <c r="S49">
        <f t="shared" si="7"/>
        <v>240</v>
      </c>
      <c r="T49">
        <f t="shared" si="8"/>
        <v>10</v>
      </c>
      <c r="U49">
        <f t="shared" si="9"/>
        <v>4000</v>
      </c>
      <c r="V49">
        <f t="shared" ca="1" si="10"/>
        <v>2040</v>
      </c>
      <c r="W49">
        <f t="shared" ca="1" si="11"/>
        <v>400</v>
      </c>
      <c r="X49">
        <f t="shared" ca="1" si="12"/>
        <v>372000</v>
      </c>
      <c r="Y49">
        <f t="shared" ca="1" si="13"/>
        <v>5230</v>
      </c>
      <c r="Z49" s="4">
        <f t="shared" ca="1" si="13"/>
        <v>288000</v>
      </c>
      <c r="AA49" s="4">
        <f t="shared" ca="1" si="18"/>
        <v>3130</v>
      </c>
      <c r="AD49" s="4" t="str">
        <f t="shared" ca="1" si="14"/>
        <v>[10,6,1,120,200,10000],</v>
      </c>
      <c r="AG49" s="4" t="str">
        <f t="shared" ca="1" si="15"/>
        <v>[4,43],</v>
      </c>
    </row>
    <row r="50" spans="1:33" ht="14.25" customHeight="1" x14ac:dyDescent="0.25">
      <c r="A50" s="4">
        <v>6</v>
      </c>
      <c r="B50" s="3">
        <v>44</v>
      </c>
      <c r="C50" s="4">
        <v>7</v>
      </c>
      <c r="D50" s="4">
        <v>8</v>
      </c>
      <c r="E50" s="4">
        <v>2</v>
      </c>
      <c r="F50" s="2">
        <v>110</v>
      </c>
      <c r="G50" s="4">
        <v>200</v>
      </c>
      <c r="H50" s="4">
        <v>10000</v>
      </c>
      <c r="I50" s="4">
        <f t="shared" ca="1" si="16"/>
        <v>1965</v>
      </c>
      <c r="J50" s="4">
        <f t="shared" ca="1" si="3"/>
        <v>50</v>
      </c>
      <c r="K50" s="5">
        <f t="shared" ca="1" si="4"/>
        <v>5.0890585241730282</v>
      </c>
      <c r="L50" s="4">
        <f t="shared" ca="1" si="5"/>
        <v>311000</v>
      </c>
      <c r="M50" s="4">
        <f t="shared" ca="1" si="6"/>
        <v>3150</v>
      </c>
      <c r="N50" s="4">
        <f t="shared" ca="1" si="6"/>
        <v>296000</v>
      </c>
      <c r="O50" s="4">
        <f t="shared" ca="1" si="17"/>
        <v>3150</v>
      </c>
      <c r="Q50" s="10">
        <v>12</v>
      </c>
      <c r="R50" s="13">
        <v>1.9464720194647203</v>
      </c>
      <c r="S50">
        <f t="shared" si="7"/>
        <v>240</v>
      </c>
      <c r="T50">
        <f t="shared" si="8"/>
        <v>10</v>
      </c>
      <c r="U50">
        <f t="shared" si="9"/>
        <v>4000</v>
      </c>
      <c r="V50">
        <f t="shared" ca="1" si="10"/>
        <v>2055</v>
      </c>
      <c r="W50">
        <f t="shared" ca="1" si="11"/>
        <v>400</v>
      </c>
      <c r="X50">
        <f t="shared" ca="1" si="12"/>
        <v>376000</v>
      </c>
      <c r="Y50">
        <f t="shared" ca="1" si="13"/>
        <v>5240</v>
      </c>
      <c r="Z50" s="4">
        <f t="shared" ca="1" si="13"/>
        <v>292000</v>
      </c>
      <c r="AA50" s="4">
        <f t="shared" ca="1" si="18"/>
        <v>3140</v>
      </c>
      <c r="AD50" s="4" t="str">
        <f t="shared" ca="1" si="14"/>
        <v>[7,8,2,110,200,10000],</v>
      </c>
      <c r="AG50" s="4" t="str">
        <f t="shared" ca="1" si="15"/>
        <v>[6,44],</v>
      </c>
    </row>
    <row r="51" spans="1:33" ht="14.25" customHeight="1" x14ac:dyDescent="0.25">
      <c r="A51" s="4">
        <v>5</v>
      </c>
      <c r="B51" s="3">
        <v>45</v>
      </c>
      <c r="C51" s="4">
        <v>6</v>
      </c>
      <c r="D51" s="4">
        <v>1</v>
      </c>
      <c r="E51" s="4">
        <v>4</v>
      </c>
      <c r="F51" s="4">
        <v>70</v>
      </c>
      <c r="G51" s="4">
        <v>300</v>
      </c>
      <c r="H51" s="4">
        <v>12000</v>
      </c>
      <c r="I51" s="4">
        <f t="shared" ca="1" si="16"/>
        <v>2115</v>
      </c>
      <c r="J51" s="4">
        <f t="shared" ca="1" si="3"/>
        <v>40</v>
      </c>
      <c r="K51" s="5">
        <f t="shared" ca="1" si="4"/>
        <v>5.6737588652482271</v>
      </c>
      <c r="L51" s="4">
        <f t="shared" ca="1" si="5"/>
        <v>323000</v>
      </c>
      <c r="M51" s="4">
        <f t="shared" ca="1" si="6"/>
        <v>3450</v>
      </c>
      <c r="N51" s="4">
        <f t="shared" ca="1" si="6"/>
        <v>308000</v>
      </c>
      <c r="O51" s="4">
        <f t="shared" ca="1" si="17"/>
        <v>3450</v>
      </c>
      <c r="Q51" s="10">
        <v>8</v>
      </c>
      <c r="R51" s="13">
        <v>1.8691588785046729</v>
      </c>
      <c r="S51">
        <f t="shared" si="7"/>
        <v>250</v>
      </c>
      <c r="T51">
        <f t="shared" si="8"/>
        <v>10</v>
      </c>
      <c r="U51">
        <f t="shared" si="9"/>
        <v>4000</v>
      </c>
      <c r="V51">
        <f t="shared" ca="1" si="10"/>
        <v>2140</v>
      </c>
      <c r="W51">
        <f t="shared" ca="1" si="11"/>
        <v>400</v>
      </c>
      <c r="X51">
        <f t="shared" ca="1" si="12"/>
        <v>380000</v>
      </c>
      <c r="Y51">
        <f t="shared" ca="1" si="13"/>
        <v>5250</v>
      </c>
      <c r="Z51" s="4">
        <f t="shared" ca="1" si="13"/>
        <v>296000</v>
      </c>
      <c r="AA51" s="4">
        <f t="shared" ca="1" si="18"/>
        <v>3150</v>
      </c>
      <c r="AD51" s="4" t="str">
        <f t="shared" ca="1" si="14"/>
        <v>[6,1,4,70,300,12000],</v>
      </c>
      <c r="AG51" s="4" t="str">
        <f t="shared" ca="1" si="15"/>
        <v>[5,45],</v>
      </c>
    </row>
    <row r="52" spans="1:33" ht="14.25" customHeight="1" x14ac:dyDescent="0.25">
      <c r="A52" s="4">
        <v>5</v>
      </c>
      <c r="B52" s="3">
        <v>46</v>
      </c>
      <c r="C52" s="4">
        <v>9</v>
      </c>
      <c r="D52" s="4">
        <v>2</v>
      </c>
      <c r="E52" s="4">
        <v>3</v>
      </c>
      <c r="F52" s="4">
        <v>50</v>
      </c>
      <c r="G52" s="4">
        <v>300</v>
      </c>
      <c r="H52" s="4">
        <v>12000</v>
      </c>
      <c r="I52" s="4">
        <f t="shared" ca="1" si="16"/>
        <v>1970</v>
      </c>
      <c r="J52" s="4">
        <f t="shared" ca="1" si="3"/>
        <v>40</v>
      </c>
      <c r="K52" s="5">
        <f t="shared" ca="1" si="4"/>
        <v>6.0913705583756341</v>
      </c>
      <c r="L52" s="4">
        <f t="shared" ca="1" si="5"/>
        <v>335000</v>
      </c>
      <c r="M52" s="4">
        <f t="shared" ca="1" si="6"/>
        <v>3750</v>
      </c>
      <c r="N52" s="4">
        <f t="shared" ca="1" si="6"/>
        <v>320000</v>
      </c>
      <c r="O52" s="4">
        <f t="shared" ca="1" si="17"/>
        <v>3750</v>
      </c>
      <c r="Q52" s="10">
        <v>3</v>
      </c>
      <c r="R52" s="13">
        <v>0.96711798839458418</v>
      </c>
      <c r="S52">
        <f t="shared" si="7"/>
        <v>310</v>
      </c>
      <c r="T52">
        <f t="shared" si="8"/>
        <v>0</v>
      </c>
      <c r="U52">
        <f t="shared" si="9"/>
        <v>2500</v>
      </c>
      <c r="V52">
        <f t="shared" ca="1" si="10"/>
        <v>2585</v>
      </c>
      <c r="W52" t="e">
        <f t="shared" ca="1" si="11"/>
        <v>#DIV/0!</v>
      </c>
      <c r="X52">
        <f t="shared" ca="1" si="12"/>
        <v>382500</v>
      </c>
      <c r="Y52">
        <f t="shared" ca="1" si="13"/>
        <v>5250</v>
      </c>
      <c r="Z52" s="4">
        <f t="shared" ca="1" si="13"/>
        <v>298500</v>
      </c>
      <c r="AA52" s="4">
        <f t="shared" ca="1" si="18"/>
        <v>3150</v>
      </c>
      <c r="AD52" s="4" t="str">
        <f t="shared" ca="1" si="14"/>
        <v>[9,2,3,50,300,12000],</v>
      </c>
      <c r="AG52" s="4" t="str">
        <f t="shared" ca="1" si="15"/>
        <v>[5,46],</v>
      </c>
    </row>
    <row r="53" spans="1:33" ht="14.25" customHeight="1" x14ac:dyDescent="0.25">
      <c r="A53" s="4">
        <v>5</v>
      </c>
      <c r="B53" s="3">
        <v>47</v>
      </c>
      <c r="C53" s="4">
        <v>10</v>
      </c>
      <c r="D53" s="4">
        <v>1</v>
      </c>
      <c r="E53" s="4">
        <v>2</v>
      </c>
      <c r="F53" s="4">
        <v>60</v>
      </c>
      <c r="G53" s="4">
        <v>300</v>
      </c>
      <c r="H53" s="4">
        <v>12000</v>
      </c>
      <c r="I53" s="4">
        <f t="shared" ca="1" si="16"/>
        <v>2045</v>
      </c>
      <c r="J53" s="4">
        <f t="shared" ca="1" si="3"/>
        <v>40</v>
      </c>
      <c r="K53" s="5">
        <f t="shared" ca="1" si="4"/>
        <v>5.8679706601466997</v>
      </c>
      <c r="L53" s="4">
        <f t="shared" ca="1" si="5"/>
        <v>347000</v>
      </c>
      <c r="M53" s="4">
        <f t="shared" ca="1" si="6"/>
        <v>4050</v>
      </c>
      <c r="N53" s="4">
        <f t="shared" ca="1" si="6"/>
        <v>332000</v>
      </c>
      <c r="O53" s="4">
        <f t="shared" ca="1" si="17"/>
        <v>4050</v>
      </c>
      <c r="Q53" s="10">
        <v>0</v>
      </c>
      <c r="R53" s="13">
        <v>0.95238095238095233</v>
      </c>
      <c r="S53">
        <f t="shared" si="7"/>
        <v>320</v>
      </c>
      <c r="T53">
        <f t="shared" si="8"/>
        <v>0</v>
      </c>
      <c r="U53">
        <f t="shared" si="9"/>
        <v>2500</v>
      </c>
      <c r="V53">
        <f t="shared" ca="1" si="10"/>
        <v>2625</v>
      </c>
      <c r="W53" t="e">
        <f t="shared" ca="1" si="11"/>
        <v>#DIV/0!</v>
      </c>
      <c r="X53">
        <f t="shared" ca="1" si="12"/>
        <v>385000</v>
      </c>
      <c r="Y53">
        <f t="shared" ca="1" si="13"/>
        <v>5250</v>
      </c>
      <c r="Z53" s="4">
        <f t="shared" ca="1" si="13"/>
        <v>301000</v>
      </c>
      <c r="AA53" s="4">
        <f t="shared" ca="1" si="18"/>
        <v>3150</v>
      </c>
      <c r="AD53" s="4" t="str">
        <f t="shared" ca="1" si="14"/>
        <v>[10,1,2,60,300,12000],</v>
      </c>
      <c r="AG53" s="4" t="str">
        <f t="shared" ca="1" si="15"/>
        <v>[5,47],</v>
      </c>
    </row>
    <row r="54" spans="1:33" ht="14.25" customHeight="1" x14ac:dyDescent="0.25">
      <c r="A54" s="4">
        <v>5</v>
      </c>
      <c r="B54" s="3">
        <v>48</v>
      </c>
      <c r="C54" s="4">
        <v>8</v>
      </c>
      <c r="D54" s="4">
        <v>4</v>
      </c>
      <c r="E54" s="4">
        <v>2</v>
      </c>
      <c r="F54" s="4">
        <v>50</v>
      </c>
      <c r="G54" s="4">
        <v>300</v>
      </c>
      <c r="H54" s="4">
        <v>12000</v>
      </c>
      <c r="I54" s="4">
        <f t="shared" ca="1" si="16"/>
        <v>1970</v>
      </c>
      <c r="J54" s="4">
        <f t="shared" ca="1" si="3"/>
        <v>40</v>
      </c>
      <c r="K54" s="5">
        <f t="shared" ca="1" si="4"/>
        <v>6.0913705583756341</v>
      </c>
      <c r="L54" s="4">
        <f t="shared" ca="1" si="5"/>
        <v>359000</v>
      </c>
      <c r="M54" s="4">
        <f t="shared" ca="1" si="6"/>
        <v>4350</v>
      </c>
      <c r="N54" s="4">
        <f t="shared" ca="1" si="6"/>
        <v>344000</v>
      </c>
      <c r="O54" s="4">
        <f t="shared" ca="1" si="17"/>
        <v>4350</v>
      </c>
      <c r="Q54" s="10">
        <v>2</v>
      </c>
      <c r="R54" s="13">
        <v>0.94876660341555974</v>
      </c>
      <c r="S54">
        <f t="shared" si="7"/>
        <v>320</v>
      </c>
      <c r="T54">
        <f t="shared" si="8"/>
        <v>0</v>
      </c>
      <c r="U54">
        <f t="shared" si="9"/>
        <v>2500</v>
      </c>
      <c r="V54">
        <f t="shared" ca="1" si="10"/>
        <v>2635</v>
      </c>
      <c r="W54" t="e">
        <f t="shared" ca="1" si="11"/>
        <v>#DIV/0!</v>
      </c>
      <c r="X54">
        <f t="shared" ca="1" si="12"/>
        <v>387500</v>
      </c>
      <c r="Y54">
        <f t="shared" ca="1" si="13"/>
        <v>5250</v>
      </c>
      <c r="Z54" s="4">
        <f t="shared" ca="1" si="13"/>
        <v>303500</v>
      </c>
      <c r="AA54" s="4">
        <f t="shared" ca="1" si="18"/>
        <v>3150</v>
      </c>
      <c r="AD54" s="4" t="str">
        <f t="shared" ca="1" si="14"/>
        <v>[8,4,2,50,300,12000],</v>
      </c>
      <c r="AG54" s="4" t="str">
        <f t="shared" ca="1" si="15"/>
        <v>[5,48],</v>
      </c>
    </row>
    <row r="55" spans="1:33" ht="14.25" customHeight="1" x14ac:dyDescent="0.25">
      <c r="A55" s="4">
        <v>5</v>
      </c>
      <c r="B55" s="3">
        <v>49</v>
      </c>
      <c r="C55" s="4">
        <v>11</v>
      </c>
      <c r="D55" s="4">
        <v>6</v>
      </c>
      <c r="E55" s="4">
        <v>8</v>
      </c>
      <c r="F55" s="4">
        <v>40</v>
      </c>
      <c r="G55" s="4">
        <v>300</v>
      </c>
      <c r="H55" s="4">
        <v>12000</v>
      </c>
      <c r="I55" s="4">
        <f t="shared" ca="1" si="16"/>
        <v>1945</v>
      </c>
      <c r="J55" s="4">
        <f t="shared" ca="1" si="3"/>
        <v>40</v>
      </c>
      <c r="K55" s="5">
        <f t="shared" ca="1" si="4"/>
        <v>6.1696658097686372</v>
      </c>
      <c r="L55" s="4">
        <f t="shared" ca="1" si="5"/>
        <v>371000</v>
      </c>
      <c r="M55" s="4">
        <f t="shared" ca="1" si="6"/>
        <v>4650</v>
      </c>
      <c r="N55" s="4">
        <f t="shared" ca="1" si="6"/>
        <v>356000</v>
      </c>
      <c r="O55" s="4">
        <f t="shared" ca="1" si="17"/>
        <v>4650</v>
      </c>
      <c r="Q55" s="10">
        <v>4</v>
      </c>
      <c r="R55" s="13">
        <v>0.93808630393996251</v>
      </c>
      <c r="S55">
        <f t="shared" si="7"/>
        <v>320</v>
      </c>
      <c r="T55">
        <f t="shared" si="8"/>
        <v>0</v>
      </c>
      <c r="U55">
        <f t="shared" si="9"/>
        <v>2500</v>
      </c>
      <c r="V55">
        <f t="shared" ca="1" si="10"/>
        <v>2665</v>
      </c>
      <c r="W55" t="e">
        <f t="shared" ca="1" si="11"/>
        <v>#DIV/0!</v>
      </c>
      <c r="X55">
        <f t="shared" ca="1" si="12"/>
        <v>390000</v>
      </c>
      <c r="Y55">
        <f t="shared" ca="1" si="13"/>
        <v>5250</v>
      </c>
      <c r="Z55" s="4">
        <f t="shared" ca="1" si="13"/>
        <v>306000</v>
      </c>
      <c r="AA55" s="4">
        <f t="shared" ca="1" si="18"/>
        <v>3150</v>
      </c>
      <c r="AD55" s="4" t="str">
        <f t="shared" ca="1" si="14"/>
        <v>[11,6,8,40,300,12000],</v>
      </c>
      <c r="AG55" s="4" t="str">
        <f t="shared" ca="1" si="15"/>
        <v>[5,49],</v>
      </c>
    </row>
    <row r="56" spans="1:33" ht="14.25" customHeight="1" x14ac:dyDescent="0.25">
      <c r="A56" s="4">
        <v>5</v>
      </c>
      <c r="B56" s="3">
        <v>50</v>
      </c>
      <c r="C56" s="4">
        <v>6</v>
      </c>
      <c r="D56" s="4">
        <v>8</v>
      </c>
      <c r="E56" s="4">
        <v>1</v>
      </c>
      <c r="F56" s="4">
        <v>50</v>
      </c>
      <c r="G56" s="4">
        <v>300</v>
      </c>
      <c r="H56" s="4">
        <v>12000</v>
      </c>
      <c r="I56" s="4">
        <f t="shared" ca="1" si="16"/>
        <v>1975</v>
      </c>
      <c r="J56" s="4">
        <f t="shared" ca="1" si="3"/>
        <v>40</v>
      </c>
      <c r="K56" s="5">
        <f t="shared" ca="1" si="4"/>
        <v>6.075949367088608</v>
      </c>
      <c r="L56" s="4">
        <f t="shared" ca="1" si="5"/>
        <v>383000</v>
      </c>
      <c r="M56" s="4">
        <f t="shared" ca="1" si="6"/>
        <v>4950</v>
      </c>
      <c r="N56" s="4">
        <f t="shared" ca="1" si="6"/>
        <v>368000</v>
      </c>
      <c r="O56" s="4">
        <f t="shared" ca="1" si="17"/>
        <v>4950</v>
      </c>
      <c r="Q56" s="10">
        <v>1</v>
      </c>
      <c r="R56" s="13">
        <v>0.93109869646182497</v>
      </c>
      <c r="S56">
        <f t="shared" si="7"/>
        <v>330</v>
      </c>
      <c r="T56">
        <f t="shared" si="8"/>
        <v>0</v>
      </c>
      <c r="U56">
        <f t="shared" si="9"/>
        <v>2500</v>
      </c>
      <c r="V56">
        <f t="shared" ca="1" si="10"/>
        <v>2685</v>
      </c>
      <c r="W56" t="e">
        <f t="shared" ca="1" si="11"/>
        <v>#DIV/0!</v>
      </c>
      <c r="X56">
        <f t="shared" ca="1" si="12"/>
        <v>392500</v>
      </c>
      <c r="Y56">
        <f t="shared" ca="1" si="13"/>
        <v>5250</v>
      </c>
      <c r="Z56" s="4">
        <f t="shared" ca="1" si="13"/>
        <v>308500</v>
      </c>
      <c r="AA56" s="4">
        <f t="shared" ca="1" si="18"/>
        <v>3150</v>
      </c>
      <c r="AD56" s="4" t="str">
        <f t="shared" ca="1" si="14"/>
        <v>[6,8,1,50,300,12000],</v>
      </c>
      <c r="AG56" s="4" t="str">
        <f t="shared" ca="1" si="15"/>
        <v>[5,50],</v>
      </c>
    </row>
    <row r="57" spans="1:33" ht="14.25" customHeight="1" x14ac:dyDescent="0.25">
      <c r="A57" s="4">
        <v>6</v>
      </c>
      <c r="B57" s="3">
        <v>51</v>
      </c>
      <c r="C57" s="4">
        <v>5</v>
      </c>
      <c r="D57" s="4">
        <v>2</v>
      </c>
      <c r="E57" s="4">
        <v>4</v>
      </c>
      <c r="F57" s="4">
        <v>30</v>
      </c>
      <c r="G57" s="4">
        <v>300</v>
      </c>
      <c r="H57" s="4">
        <v>12000</v>
      </c>
      <c r="I57" s="4">
        <f t="shared" ca="1" si="16"/>
        <v>1795</v>
      </c>
      <c r="J57" s="4">
        <f t="shared" ca="1" si="3"/>
        <v>40</v>
      </c>
      <c r="K57" s="5">
        <f t="shared" ca="1" si="4"/>
        <v>6.6852367688022287</v>
      </c>
      <c r="L57" s="4">
        <f t="shared" ca="1" si="5"/>
        <v>395000</v>
      </c>
      <c r="M57" s="4">
        <f t="shared" ca="1" si="6"/>
        <v>5250</v>
      </c>
      <c r="N57" s="4">
        <f t="shared" ca="1" si="6"/>
        <v>380000</v>
      </c>
      <c r="O57" s="4">
        <f t="shared" ca="1" si="17"/>
        <v>5250</v>
      </c>
      <c r="Q57" s="10">
        <v>5</v>
      </c>
      <c r="R57" s="13">
        <v>0.92936802973977695</v>
      </c>
      <c r="S57">
        <f t="shared" si="7"/>
        <v>330</v>
      </c>
      <c r="T57">
        <f t="shared" si="8"/>
        <v>0</v>
      </c>
      <c r="U57">
        <f t="shared" si="9"/>
        <v>2500</v>
      </c>
      <c r="V57">
        <f t="shared" ca="1" si="10"/>
        <v>2690</v>
      </c>
      <c r="W57" t="e">
        <f t="shared" ca="1" si="11"/>
        <v>#DIV/0!</v>
      </c>
      <c r="X57">
        <f t="shared" ca="1" si="12"/>
        <v>395000</v>
      </c>
      <c r="Y57">
        <f t="shared" ca="1" si="13"/>
        <v>5250</v>
      </c>
      <c r="Z57" s="4">
        <f t="shared" ca="1" si="13"/>
        <v>311000</v>
      </c>
      <c r="AA57" s="4">
        <f t="shared" ca="1" si="18"/>
        <v>3150</v>
      </c>
      <c r="AD57" s="4" t="str">
        <f ca="1">_xlfn.CONCAT("[",OFFSET(AD57,0,-27),",",OFFSET(AD57,0,-26),",",OFFSET(AD57,0,-25),",",OFFSET(AD57,0,-24),",",OFFSET(AD57,0,-23),",",OFFSET(AD57,0,-22),"],")</f>
        <v>[5,2,4,30,300,12000],</v>
      </c>
      <c r="AG57" s="4" t="str">
        <f t="shared" ca="1" si="15"/>
        <v>[6,51],</v>
      </c>
    </row>
    <row r="58" spans="1:33" ht="14.25" customHeight="1" x14ac:dyDescent="0.25">
      <c r="B58" s="3"/>
      <c r="Q58" s="10" t="s">
        <v>12</v>
      </c>
      <c r="R58" s="13"/>
      <c r="S58"/>
      <c r="T58"/>
      <c r="U58"/>
      <c r="V58"/>
      <c r="W58"/>
      <c r="X58"/>
      <c r="AD58" s="4" t="s">
        <v>16</v>
      </c>
      <c r="AG58" s="4" t="s">
        <v>16</v>
      </c>
    </row>
    <row r="59" spans="1:33" ht="14.25" customHeight="1" x14ac:dyDescent="0.25">
      <c r="Q59"/>
      <c r="R59" s="12"/>
      <c r="S59"/>
      <c r="T59"/>
      <c r="U59"/>
      <c r="V59"/>
      <c r="W59"/>
      <c r="X59"/>
    </row>
    <row r="60" spans="1:33" ht="14.25" customHeight="1" x14ac:dyDescent="0.25">
      <c r="Q60"/>
    </row>
    <row r="61" spans="1:33" ht="14.25" customHeight="1" x14ac:dyDescent="0.25">
      <c r="Q61"/>
    </row>
    <row r="62" spans="1:33" ht="14.25" customHeight="1" x14ac:dyDescent="0.25">
      <c r="Q62"/>
    </row>
    <row r="63" spans="1:33" ht="14.25" customHeight="1" x14ac:dyDescent="0.25">
      <c r="Q63"/>
    </row>
    <row r="64" spans="1:33" ht="14.25" customHeight="1" x14ac:dyDescent="0.25">
      <c r="Q64"/>
    </row>
    <row r="65" spans="17:17" ht="14.25" customHeight="1" x14ac:dyDescent="0.25">
      <c r="Q65"/>
    </row>
    <row r="66" spans="17:17" ht="14.25" customHeight="1" x14ac:dyDescent="0.25">
      <c r="Q66"/>
    </row>
    <row r="67" spans="17:17" ht="14.25" customHeight="1" x14ac:dyDescent="0.25">
      <c r="Q67"/>
    </row>
    <row r="68" spans="17:17" ht="14.25" customHeight="1" x14ac:dyDescent="0.25">
      <c r="Q68"/>
    </row>
    <row r="69" spans="17:17" ht="14.25" customHeight="1" x14ac:dyDescent="0.25">
      <c r="Q69"/>
    </row>
    <row r="70" spans="17:17" ht="14.25" customHeight="1" x14ac:dyDescent="0.25">
      <c r="Q70"/>
    </row>
    <row r="71" spans="17:17" ht="14.25" customHeight="1" x14ac:dyDescent="0.25">
      <c r="Q71"/>
    </row>
    <row r="72" spans="17:17" ht="14.25" customHeight="1" x14ac:dyDescent="0.25">
      <c r="Q72"/>
    </row>
    <row r="73" spans="17:17" ht="14.25" customHeight="1" x14ac:dyDescent="0.25">
      <c r="Q73"/>
    </row>
    <row r="74" spans="17:17" ht="14.25" customHeight="1" x14ac:dyDescent="0.25">
      <c r="Q74"/>
    </row>
    <row r="75" spans="17:17" ht="14.25" customHeight="1" x14ac:dyDescent="0.25">
      <c r="Q75"/>
    </row>
    <row r="76" spans="17:17" ht="14.25" customHeight="1" x14ac:dyDescent="0.25">
      <c r="Q76"/>
    </row>
    <row r="77" spans="17:17" ht="14.25" customHeight="1" x14ac:dyDescent="0.25">
      <c r="Q77"/>
    </row>
    <row r="78" spans="17:17" ht="14.25" customHeight="1" x14ac:dyDescent="0.25">
      <c r="Q78"/>
    </row>
    <row r="79" spans="17:17" ht="14.25" customHeight="1" x14ac:dyDescent="0.25">
      <c r="Q79"/>
    </row>
    <row r="80" spans="17:17" ht="14.25" customHeight="1" x14ac:dyDescent="0.25">
      <c r="Q80"/>
    </row>
    <row r="81" spans="17:17" ht="14.25" customHeight="1" x14ac:dyDescent="0.25">
      <c r="Q81"/>
    </row>
    <row r="82" spans="17:17" ht="14.25" customHeight="1" x14ac:dyDescent="0.25">
      <c r="Q82"/>
    </row>
    <row r="83" spans="17:17" ht="14.25" customHeight="1" x14ac:dyDescent="0.25">
      <c r="Q83"/>
    </row>
    <row r="84" spans="17:17" ht="14.25" customHeight="1" x14ac:dyDescent="0.25">
      <c r="Q84"/>
    </row>
    <row r="85" spans="17:17" ht="14.25" customHeight="1" x14ac:dyDescent="0.25">
      <c r="Q85"/>
    </row>
    <row r="86" spans="17:17" ht="14.25" customHeight="1" x14ac:dyDescent="0.25">
      <c r="Q86"/>
    </row>
    <row r="87" spans="17:17" ht="14.25" customHeight="1" x14ac:dyDescent="0.25">
      <c r="Q87"/>
    </row>
    <row r="88" spans="17:17" ht="14.25" customHeight="1" x14ac:dyDescent="0.25">
      <c r="Q88"/>
    </row>
    <row r="89" spans="17:17" ht="14.25" customHeight="1" x14ac:dyDescent="0.25">
      <c r="Q89"/>
    </row>
    <row r="90" spans="17:17" ht="14.25" customHeight="1" x14ac:dyDescent="0.25">
      <c r="Q90"/>
    </row>
    <row r="91" spans="17:17" ht="14.25" customHeight="1" x14ac:dyDescent="0.25">
      <c r="Q91"/>
    </row>
    <row r="92" spans="17:17" ht="14.25" customHeight="1" x14ac:dyDescent="0.25">
      <c r="Q92"/>
    </row>
    <row r="93" spans="17:17" ht="14.25" customHeight="1" x14ac:dyDescent="0.25">
      <c r="Q93"/>
    </row>
    <row r="94" spans="17:17" ht="14.25" customHeight="1" x14ac:dyDescent="0.25">
      <c r="Q94"/>
    </row>
    <row r="95" spans="17:17" ht="14.25" customHeight="1" x14ac:dyDescent="0.25">
      <c r="Q95"/>
    </row>
    <row r="96" spans="17:17" ht="14.25" customHeight="1" x14ac:dyDescent="0.25">
      <c r="Q96"/>
    </row>
    <row r="97" spans="17:17" ht="14.25" customHeight="1" x14ac:dyDescent="0.25">
      <c r="Q97"/>
    </row>
    <row r="98" spans="17:17" ht="14.25" customHeight="1" x14ac:dyDescent="0.25">
      <c r="Q98"/>
    </row>
    <row r="99" spans="17:17" ht="14.25" customHeight="1" x14ac:dyDescent="0.25">
      <c r="Q99"/>
    </row>
    <row r="100" spans="17:17" ht="14.25" customHeight="1" x14ac:dyDescent="0.25">
      <c r="Q100"/>
    </row>
    <row r="101" spans="17:17" ht="14.25" customHeight="1" x14ac:dyDescent="0.25">
      <c r="Q101"/>
    </row>
    <row r="102" spans="17:17" ht="14.25" customHeight="1" x14ac:dyDescent="0.25">
      <c r="Q102"/>
    </row>
    <row r="103" spans="17:17" ht="14.25" customHeight="1" x14ac:dyDescent="0.25">
      <c r="Q103"/>
    </row>
    <row r="104" spans="17:17" ht="14.25" customHeight="1" x14ac:dyDescent="0.25">
      <c r="Q104"/>
    </row>
    <row r="105" spans="17:17" ht="14.25" customHeight="1" x14ac:dyDescent="0.25">
      <c r="Q105"/>
    </row>
    <row r="106" spans="17:17" ht="14.25" customHeight="1" x14ac:dyDescent="0.25">
      <c r="Q106"/>
    </row>
    <row r="107" spans="17:17" ht="14.25" customHeight="1" x14ac:dyDescent="0.25">
      <c r="Q107"/>
    </row>
    <row r="108" spans="17:17" ht="14.25" customHeight="1" x14ac:dyDescent="0.25">
      <c r="Q108"/>
    </row>
    <row r="109" spans="17:17" ht="14.25" customHeight="1" x14ac:dyDescent="0.25">
      <c r="Q109"/>
    </row>
    <row r="110" spans="17:17" ht="14.25" customHeight="1" x14ac:dyDescent="0.25">
      <c r="Q110"/>
    </row>
    <row r="111" spans="17:17" ht="14.25" customHeight="1" x14ac:dyDescent="0.25">
      <c r="Q111"/>
    </row>
    <row r="112" spans="17:17" ht="14.25" customHeight="1" x14ac:dyDescent="0.25">
      <c r="Q112"/>
    </row>
    <row r="113" spans="17:17" ht="14.25" customHeight="1" x14ac:dyDescent="0.25">
      <c r="Q113"/>
    </row>
    <row r="114" spans="17:17" ht="14.25" customHeight="1" x14ac:dyDescent="0.25">
      <c r="Q114"/>
    </row>
  </sheetData>
  <conditionalFormatting sqref="A6:A5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{2F2BDCC5-7853-4572-B10C-40E3DEA2CC11}</x14:id>
        </ext>
      </extLst>
    </cfRule>
  </conditionalFormatting>
  <conditionalFormatting sqref="J6:J57">
    <cfRule type="colorScale" priority="5">
      <colorScale>
        <cfvo type="min"/>
        <cfvo type="max"/>
        <color theme="0"/>
        <color theme="9" tint="-0.249977111117893"/>
      </colorScale>
    </cfRule>
  </conditionalFormatting>
  <conditionalFormatting sqref="K6:K57">
    <cfRule type="colorScale" priority="4">
      <colorScale>
        <cfvo type="min"/>
        <cfvo type="max"/>
        <color theme="0"/>
        <color theme="7" tint="0.39997558519241921"/>
      </colorScale>
    </cfRule>
  </conditionalFormatting>
  <conditionalFormatting sqref="L6:L57 N6:N57 X6:X57 Z6:Z57">
    <cfRule type="expression" dxfId="1" priority="3">
      <formula>L6&lt;$H$2</formula>
    </cfRule>
  </conditionalFormatting>
  <conditionalFormatting sqref="M6:M57 O6:O57 Y6:Y57 AA6:AA57">
    <cfRule type="expression" dxfId="0" priority="2">
      <formula>M6&gt;$G$3</formula>
    </cfRule>
  </conditionalFormatting>
  <pageMargins left="0.7" right="0.7" top="0.75" bottom="0.75" header="0.3" footer="0.3"/>
  <pageSetup paperSize="9" orientation="portrait" horizontalDpi="4294967293" verticalDpi="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2BDCC5-7853-4572-B10C-40E3DEA2C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A6:A57</xm:sqref>
        </x14:conditionalFormatting>
        <x14:conditionalFormatting xmlns:xm="http://schemas.microsoft.com/office/excel/2006/main">
          <x14:cfRule type="iconSet" priority="21" id="{D8BA994A-BDA7-4224-80A7-96B75480AF6E}">
            <x14:iconSet custom="1">
              <x14:cfvo type="percent">
                <xm:f>0</xm:f>
              </x14:cfvo>
              <x14:cfvo type="num">
                <xm:f>550</xm:f>
              </x14:cfvo>
              <x14:cfvo type="num">
                <xm:f>750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N9</xm:sqref>
        </x14:conditionalFormatting>
        <x14:conditionalFormatting xmlns:xm="http://schemas.microsoft.com/office/excel/2006/main">
          <x14:cfRule type="iconSet" priority="20" id="{6AE4FC5B-D87F-46D0-9EAA-B2BA626D02E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O9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</dc:creator>
  <cp:lastModifiedBy>TS</cp:lastModifiedBy>
  <dcterms:created xsi:type="dcterms:W3CDTF">2026-03-27T22:38:19Z</dcterms:created>
  <dcterms:modified xsi:type="dcterms:W3CDTF">2026-05-05T04:04:49Z</dcterms:modified>
</cp:coreProperties>
</file>